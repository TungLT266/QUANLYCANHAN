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GESO-Project\workspace\FIT\WebContent\pages\Templates\"/>
    </mc:Choice>
  </mc:AlternateContent>
  <bookViews>
    <workbookView xWindow="240" yWindow="45" windowWidth="20115" windowHeight="7995" activeTab="3"/>
  </bookViews>
  <sheets>
    <sheet name="CDSPS" sheetId="1" r:id="rId1"/>
    <sheet name="CDKT" sheetId="2" r:id="rId2"/>
    <sheet name="KQKD" sheetId="3" r:id="rId3"/>
    <sheet name="LCTT" sheetId="4" r:id="rId4"/>
  </sheets>
  <calcPr calcId="152511"/>
</workbook>
</file>

<file path=xl/calcChain.xml><?xml version="1.0" encoding="utf-8"?>
<calcChain xmlns="http://schemas.openxmlformats.org/spreadsheetml/2006/main">
  <c r="E24" i="4" l="1"/>
  <c r="D24" i="4"/>
  <c r="E23" i="4" l="1"/>
  <c r="D23" i="4"/>
  <c r="D25" i="4" l="1"/>
  <c r="D26" i="4"/>
  <c r="D27" i="4"/>
  <c r="D30" i="4"/>
  <c r="E25" i="4" l="1"/>
  <c r="E22" i="4"/>
  <c r="D22" i="4"/>
  <c r="E46" i="4" l="1"/>
  <c r="D46" i="4"/>
  <c r="E44" i="4"/>
  <c r="D44" i="4"/>
  <c r="E38" i="4"/>
  <c r="D38" i="4"/>
  <c r="E54" i="4" l="1"/>
  <c r="D54" i="4"/>
  <c r="E47" i="4"/>
  <c r="D47" i="4"/>
  <c r="E34" i="4"/>
  <c r="D34" i="4"/>
  <c r="D41" i="4" s="1"/>
  <c r="E30" i="4"/>
  <c r="E27" i="4"/>
  <c r="E26" i="4"/>
  <c r="E19" i="4"/>
  <c r="D19" i="4"/>
  <c r="E18" i="4"/>
  <c r="D18" i="4"/>
  <c r="E16" i="4"/>
  <c r="D16" i="4"/>
  <c r="E15" i="4"/>
  <c r="E13" i="4" s="1"/>
  <c r="E21" i="4" s="1"/>
  <c r="E31" i="4" s="1"/>
  <c r="D15" i="4"/>
  <c r="E14" i="4"/>
  <c r="D14" i="4"/>
  <c r="E12" i="4"/>
  <c r="D12" i="4"/>
  <c r="E52" i="4"/>
  <c r="D52" i="4"/>
  <c r="E41" i="4"/>
  <c r="D13" i="4"/>
  <c r="E53" i="4" l="1"/>
  <c r="E57" i="4" s="1"/>
  <c r="D21" i="4"/>
  <c r="D31" i="4" s="1"/>
  <c r="D53" i="4" s="1"/>
  <c r="D57" i="4" s="1"/>
</calcChain>
</file>

<file path=xl/sharedStrings.xml><?xml version="1.0" encoding="utf-8"?>
<sst xmlns="http://schemas.openxmlformats.org/spreadsheetml/2006/main" count="393" uniqueCount="358">
  <si>
    <t>BẢNG CÂN ĐỐi SỐ PHÁT SINH</t>
  </si>
  <si>
    <t>Tháng 12 Năm 2013</t>
  </si>
  <si>
    <t>Đơn vị: VNĐ</t>
  </si>
  <si>
    <t>Số hiệu tài khoản</t>
  </si>
  <si>
    <t>Tên tài khoản</t>
  </si>
  <si>
    <t>Số dư đầu kỳ</t>
  </si>
  <si>
    <t>Phát sinh trong kỳ</t>
  </si>
  <si>
    <t>Số dư cuối kỳ</t>
  </si>
  <si>
    <t>Nợ</t>
  </si>
  <si>
    <t>Có</t>
  </si>
  <si>
    <t>Công ty:</t>
  </si>
  <si>
    <t>Mẫu số: B01-DN</t>
  </si>
  <si>
    <t>Địa chỉ:</t>
  </si>
  <si>
    <t>(Ban hành theo Thông tư số 200/2014/TT-BTC
Ngày 22/12/2014 của Bộ Tài chính)</t>
  </si>
  <si>
    <t>Mã số thuế:</t>
  </si>
  <si>
    <t>BẢNG CÂN ĐỐI KẾ TOÁN</t>
  </si>
  <si>
    <t>Tại ngày …... tháng …... năm ………</t>
  </si>
  <si>
    <t>Đơn vị tính: VND</t>
  </si>
  <si>
    <t>Chỉ tiêu</t>
  </si>
  <si>
    <t>Mã số</t>
  </si>
  <si>
    <t>Thuyết minh</t>
  </si>
  <si>
    <t>Số cuối kỳ này</t>
  </si>
  <si>
    <t>Số cuối kỳ trước</t>
  </si>
  <si>
    <t>1</t>
  </si>
  <si>
    <t>2</t>
  </si>
  <si>
    <t>3</t>
  </si>
  <si>
    <t>4</t>
  </si>
  <si>
    <t>5</t>
  </si>
  <si>
    <t>A. TÀI SẢN NGẮN HẠN</t>
  </si>
  <si>
    <t>100</t>
  </si>
  <si>
    <t>I. Tiền và các khoản tương đương tiền</t>
  </si>
  <si>
    <t>110</t>
  </si>
  <si>
    <t>1. Tiền</t>
  </si>
  <si>
    <t>111</t>
  </si>
  <si>
    <t>2. Các khoản tương đương tiền</t>
  </si>
  <si>
    <t>112</t>
  </si>
  <si>
    <t>II. Các khoản đầu tư tài chính ngắn hạn</t>
  </si>
  <si>
    <t>120</t>
  </si>
  <si>
    <t>1. Chứng khoán và công cụ tài chính kinh doanh</t>
  </si>
  <si>
    <t>121</t>
  </si>
  <si>
    <t>2. Dự phòng giảm giá chứng khoán kinh doanh (*) (2)</t>
  </si>
  <si>
    <t>122</t>
  </si>
  <si>
    <t>3. Đầu tư ngắn hạn khác</t>
  </si>
  <si>
    <t>123</t>
  </si>
  <si>
    <t>III. Các khoản phải thu ngắn hạn</t>
  </si>
  <si>
    <t>130</t>
  </si>
  <si>
    <t>1. Phải thu ngắn hạn của khách hàng</t>
  </si>
  <si>
    <t>131</t>
  </si>
  <si>
    <t>2. Trả trước cho người bán</t>
  </si>
  <si>
    <t>132</t>
  </si>
  <si>
    <t>3. Phải thu nội bộ ngắn hạn</t>
  </si>
  <si>
    <t>133</t>
  </si>
  <si>
    <t>4. Phải thu theo tiến độ kế hoạch hợp đồng xây dựng</t>
  </si>
  <si>
    <t>134</t>
  </si>
  <si>
    <t>5. Phải thu về cho vay ngắn hạn</t>
  </si>
  <si>
    <t>135</t>
  </si>
  <si>
    <t>6. Phải thu ngắn hạn khác</t>
  </si>
  <si>
    <t>136</t>
  </si>
  <si>
    <t>7. Dự phòng phải thu ngắn hạn khó đòi (*)</t>
  </si>
  <si>
    <t>137</t>
  </si>
  <si>
    <t>8. Tài sản thiếu chờ xử lý</t>
  </si>
  <si>
    <t>139</t>
  </si>
  <si>
    <t>IV. Hàng tồn kho</t>
  </si>
  <si>
    <t>140</t>
  </si>
  <si>
    <t>1. Hàng tồn kho</t>
  </si>
  <si>
    <t>141</t>
  </si>
  <si>
    <t>2. Dự phòng giảm giá hàng tồn kho (*)</t>
  </si>
  <si>
    <t>149</t>
  </si>
  <si>
    <t>V. Tài sản ngắn hạn khác</t>
  </si>
  <si>
    <t>150</t>
  </si>
  <si>
    <t>1. Chi phí trả trước ngắn hạn</t>
  </si>
  <si>
    <t>151</t>
  </si>
  <si>
    <t>2. Thuế GTGT được khấu trừ</t>
  </si>
  <si>
    <t>152</t>
  </si>
  <si>
    <t>3. Thuế và các khoản khác phải thu Nhà nước</t>
  </si>
  <si>
    <t>153</t>
  </si>
  <si>
    <t>4. Giao dịch mua bán lại trái phiếu Chính phủ</t>
  </si>
  <si>
    <t>154</t>
  </si>
  <si>
    <t>5. Tài sản ngắn hạn khác</t>
  </si>
  <si>
    <t>155</t>
  </si>
  <si>
    <t>B. TÀI SẢN DÀI HẠN</t>
  </si>
  <si>
    <t>200</t>
  </si>
  <si>
    <t>I. Các khoản phải thu dài hạn</t>
  </si>
  <si>
    <t>210</t>
  </si>
  <si>
    <t>1. Phải thu dài hạn của khách hàng</t>
  </si>
  <si>
    <t>211</t>
  </si>
  <si>
    <t>2. Trả trước cho người bán dài hạn</t>
  </si>
  <si>
    <t>212</t>
  </si>
  <si>
    <t>3. Vốn kinh doanh ở đơn vị trực thuộc</t>
  </si>
  <si>
    <t>213</t>
  </si>
  <si>
    <t>4. Phải thu nội bộ dài hạn</t>
  </si>
  <si>
    <t>214</t>
  </si>
  <si>
    <t>5. Phải thu về cho vay dài hạn</t>
  </si>
  <si>
    <t>215</t>
  </si>
  <si>
    <t>6. Phải thu dài hạn khác</t>
  </si>
  <si>
    <t>216</t>
  </si>
  <si>
    <t>7. Dự phòng phải thu dài hạn khó đòi (*)</t>
  </si>
  <si>
    <t>219</t>
  </si>
  <si>
    <t>II. Tài sản cố định</t>
  </si>
  <si>
    <t>220</t>
  </si>
  <si>
    <t>1. Tài sản cố định hữu hình</t>
  </si>
  <si>
    <t>221</t>
  </si>
  <si>
    <t>- Nguyên giá</t>
  </si>
  <si>
    <t>222</t>
  </si>
  <si>
    <t>- Giá trị hao mòn lũy kế (*)</t>
  </si>
  <si>
    <t>223</t>
  </si>
  <si>
    <t>2. Tài sản cố định thuê tài chính</t>
  </si>
  <si>
    <t>224</t>
  </si>
  <si>
    <t>225</t>
  </si>
  <si>
    <t>226</t>
  </si>
  <si>
    <t>3. Tài sản cố định vô hình</t>
  </si>
  <si>
    <t>227</t>
  </si>
  <si>
    <t>228</t>
  </si>
  <si>
    <t>229</t>
  </si>
  <si>
    <t>III. Bất động sản đầu tư</t>
  </si>
  <si>
    <t>230</t>
  </si>
  <si>
    <t>231</t>
  </si>
  <si>
    <t>232</t>
  </si>
  <si>
    <t>IV. Tài sản dài hạn dở dang</t>
  </si>
  <si>
    <t>240</t>
  </si>
  <si>
    <t>1. Chi phí sản xuất kinh doanh dở dang dài hạn</t>
  </si>
  <si>
    <t>241</t>
  </si>
  <si>
    <t>2. Chi phí xây dựng cơ bản dở dang</t>
  </si>
  <si>
    <t>242</t>
  </si>
  <si>
    <t>V. Các khoản đầu tư tài chính dài hạn</t>
  </si>
  <si>
    <t>250</t>
  </si>
  <si>
    <t>1. Đầu tư vào công ty con</t>
  </si>
  <si>
    <t>251</t>
  </si>
  <si>
    <t>2. Đầu tư vào công tư liên kết, liên doanh</t>
  </si>
  <si>
    <t>252</t>
  </si>
  <si>
    <t>3. Đầu tư góp vốn vào đơn vị khác</t>
  </si>
  <si>
    <t>253</t>
  </si>
  <si>
    <t>4. Dự phòng đầu tư tài chính dài hạn (*)</t>
  </si>
  <si>
    <t>254</t>
  </si>
  <si>
    <t>5. Đầu tư nắm giữ đến ngày đáo hạn</t>
  </si>
  <si>
    <t>255</t>
  </si>
  <si>
    <t>VI. Tài sản dài hạn khác</t>
  </si>
  <si>
    <t>260</t>
  </si>
  <si>
    <t>1. Chi phí trả trước dài hạn</t>
  </si>
  <si>
    <t>261</t>
  </si>
  <si>
    <t>2. Tài sản thuế thu nhập hoãn lại</t>
  </si>
  <si>
    <t>262</t>
  </si>
  <si>
    <t>3. Thiết bị, vật tư, phụ tùng thay thế dài hạn</t>
  </si>
  <si>
    <t>263</t>
  </si>
  <si>
    <t>4. Tài sản dài hạn khác</t>
  </si>
  <si>
    <t>268</t>
  </si>
  <si>
    <t>TỔNG CỘNG TÀI SẢN (270 = 100 + 200)</t>
  </si>
  <si>
    <t>270</t>
  </si>
  <si>
    <t>NGUỒN VỐN</t>
  </si>
  <si>
    <t>C - NỢ PHẢI TRẢ</t>
  </si>
  <si>
    <t>300</t>
  </si>
  <si>
    <t>I. Nợ ngắn hạn</t>
  </si>
  <si>
    <t>310</t>
  </si>
  <si>
    <t>1. Phải trả người bán ngắn hạn</t>
  </si>
  <si>
    <t>311</t>
  </si>
  <si>
    <t>2. Người mua trả tiền trước ngắn hạn</t>
  </si>
  <si>
    <t>312</t>
  </si>
  <si>
    <t>3. Thuế và các khoản phải nộp Nhà nước</t>
  </si>
  <si>
    <t>313</t>
  </si>
  <si>
    <t>4. Phải trả người lao động</t>
  </si>
  <si>
    <t>314</t>
  </si>
  <si>
    <t>5. Chi phí phải trả ngắn hạn</t>
  </si>
  <si>
    <t>315</t>
  </si>
  <si>
    <t>6. Phải trả nội bộ ngắn hạn</t>
  </si>
  <si>
    <t>316</t>
  </si>
  <si>
    <t>7. Phải trả theo tiến độ kế hoạch hợp đồng xây dựng</t>
  </si>
  <si>
    <t>317</t>
  </si>
  <si>
    <t>8. Doanh thu chưa thực hiện ngắn hạn</t>
  </si>
  <si>
    <t>318</t>
  </si>
  <si>
    <t>9. Phải trả ngắn hạn khác</t>
  </si>
  <si>
    <t>319</t>
  </si>
  <si>
    <t>10. Vay và nợ thuê tài chính ngắn hạn</t>
  </si>
  <si>
    <t>320</t>
  </si>
  <si>
    <t>11. Dự phòng phải trả ngắn hạn</t>
  </si>
  <si>
    <t>321</t>
  </si>
  <si>
    <t>12. Quỹ khen thưởng, phúc lợi</t>
  </si>
  <si>
    <t>322</t>
  </si>
  <si>
    <t>13. Quỹ bình ổn giá</t>
  </si>
  <si>
    <t>323</t>
  </si>
  <si>
    <t>14. Giao dịch mua bán lại trái phiếu Chính phủ</t>
  </si>
  <si>
    <t>324</t>
  </si>
  <si>
    <t>II. Nợ dài hạn</t>
  </si>
  <si>
    <t>330</t>
  </si>
  <si>
    <t>1. Phải trả người bán dài hạn</t>
  </si>
  <si>
    <t>331</t>
  </si>
  <si>
    <t>2. Người mua trả tiền trước dài hạn</t>
  </si>
  <si>
    <t>332</t>
  </si>
  <si>
    <t>3. Chi phí phải trả dài hạn</t>
  </si>
  <si>
    <t>333</t>
  </si>
  <si>
    <t>4. Phải trả nội bộ về vốn kinh doanh</t>
  </si>
  <si>
    <t>334</t>
  </si>
  <si>
    <t>5. Phải trả nội bộ dài hạn</t>
  </si>
  <si>
    <t>335</t>
  </si>
  <si>
    <t>6. Doanh thu chưa thực hiện dài hạn</t>
  </si>
  <si>
    <t>336</t>
  </si>
  <si>
    <t>7. Phải trả dài hạn khác</t>
  </si>
  <si>
    <t>337</t>
  </si>
  <si>
    <t>8. Vay và nợ thuê tài chính dài hạn</t>
  </si>
  <si>
    <t>338</t>
  </si>
  <si>
    <t>9. Trái phiếu chuyển đổi</t>
  </si>
  <si>
    <t>339</t>
  </si>
  <si>
    <t>10. Cổ phiếu ưu đãi</t>
  </si>
  <si>
    <t>340</t>
  </si>
  <si>
    <t>11. Thuế thu nhập hoãn lại phải trả</t>
  </si>
  <si>
    <t>341</t>
  </si>
  <si>
    <t>12. Dự phòng phải trả dài hạn</t>
  </si>
  <si>
    <t>342</t>
  </si>
  <si>
    <t>13. Quỹ phát triển khoa học và công nghệ</t>
  </si>
  <si>
    <t>343</t>
  </si>
  <si>
    <t>D - VỐN CHỦ SỞ HỮU</t>
  </si>
  <si>
    <t>400</t>
  </si>
  <si>
    <t>I. Vốn chủ sở hữu</t>
  </si>
  <si>
    <t>410</t>
  </si>
  <si>
    <t>1. Vốn góp của chủ sở hữu</t>
  </si>
  <si>
    <t>411</t>
  </si>
  <si>
    <t xml:space="preserve"> - Cổ phiếu phổ thông có quyền biểu quyết</t>
  </si>
  <si>
    <t>411a</t>
  </si>
  <si>
    <t xml:space="preserve"> - Cổ phiếu ưu đãi</t>
  </si>
  <si>
    <t>411b</t>
  </si>
  <si>
    <t>2. Thặng dư vốn cổ phần</t>
  </si>
  <si>
    <t>412</t>
  </si>
  <si>
    <t>3. Quyền chọn chuyển đổi trái phiếu</t>
  </si>
  <si>
    <t>413</t>
  </si>
  <si>
    <t>4. Vốn khác của chủ sở hữu</t>
  </si>
  <si>
    <t>414</t>
  </si>
  <si>
    <t>5. Cổ phiếu quỹ (*)</t>
  </si>
  <si>
    <t>415</t>
  </si>
  <si>
    <t>6. Chênh lệch đánh giá lại tài sản</t>
  </si>
  <si>
    <t>416</t>
  </si>
  <si>
    <t>7. Chênh lệch tỷ giá hối đoái</t>
  </si>
  <si>
    <t>417</t>
  </si>
  <si>
    <t>8. Quỹ đầu tư phát triển</t>
  </si>
  <si>
    <t>418</t>
  </si>
  <si>
    <t>9. Quỹ hỗ trợ sắp xếp doanh nghiệp</t>
  </si>
  <si>
    <t>419</t>
  </si>
  <si>
    <t>10. Quỹ khác thuộc vốn chủ sở hữu</t>
  </si>
  <si>
    <t>420</t>
  </si>
  <si>
    <t>11. Lợi nhuận sau thuế chưa phân phối</t>
  </si>
  <si>
    <t>421</t>
  </si>
  <si>
    <t>- LNST chưa phân phối lũy kế đến cuối kỳ trước</t>
  </si>
  <si>
    <t>421a</t>
  </si>
  <si>
    <t>- LNST chưa phân phối kỳ này</t>
  </si>
  <si>
    <t>421b</t>
  </si>
  <si>
    <t>12. Nguồn vốn đầu tư XDCB</t>
  </si>
  <si>
    <t>422</t>
  </si>
  <si>
    <t>II. Nguồn kinh phí và quỹ khác</t>
  </si>
  <si>
    <t>430</t>
  </si>
  <si>
    <t>1. Nguồn kinh phí</t>
  </si>
  <si>
    <t>431</t>
  </si>
  <si>
    <t>2. Nguồn kinh phí đã hình thành TSCĐ</t>
  </si>
  <si>
    <t>432</t>
  </si>
  <si>
    <t>TỔNG CỘNG NGUỒN VỐN (440 = 300 + 400)</t>
  </si>
  <si>
    <t>440</t>
  </si>
  <si>
    <t>Kế Toán Trưởng</t>
  </si>
  <si>
    <t>(Ký, họ tên)</t>
  </si>
  <si>
    <t>Mẫu số: B02-DN</t>
  </si>
  <si>
    <t>Mã số thuế</t>
  </si>
  <si>
    <t>BÁO CÁO KẾT QUẢ HOẠT ĐỘNG KINH DOANH</t>
  </si>
  <si>
    <t>Kỳ này</t>
  </si>
  <si>
    <t>Kỳ trước</t>
  </si>
  <si>
    <t>1. Doanh thu bán hàng và cung cấp dịch vụ</t>
  </si>
  <si>
    <t>01</t>
  </si>
  <si>
    <t>2. Các khoản giảm trừ doanh thu</t>
  </si>
  <si>
    <t>02</t>
  </si>
  <si>
    <t>3. Doanh thu thuần về bán hàng và cung cấp dịch vụ (10 = 01 - 02)</t>
  </si>
  <si>
    <t>10</t>
  </si>
  <si>
    <t>4. Giá vốn hàng bán</t>
  </si>
  <si>
    <t>11</t>
  </si>
  <si>
    <t>5. Lợi nhuận gộp về bán hàng và cung cấp dịch vụ (20 = 10 - 11)</t>
  </si>
  <si>
    <t>20</t>
  </si>
  <si>
    <t>6. Doanh thu hoạt động tài chính</t>
  </si>
  <si>
    <t>21</t>
  </si>
  <si>
    <t>7. Chi phí tài chính</t>
  </si>
  <si>
    <t>22</t>
  </si>
  <si>
    <t>- Trong đó: Chi phí lãi vay</t>
  </si>
  <si>
    <t>23</t>
  </si>
  <si>
    <t>8. Chi phí bán hàng</t>
  </si>
  <si>
    <t>25</t>
  </si>
  <si>
    <t>9. Chi phí quản lý doanh nghiệp</t>
  </si>
  <si>
    <t>26</t>
  </si>
  <si>
    <t>10. Lợi nhuận thuần từ hoạt động kinh doanh (30 = 20 + (21 -22) – 25 – 26</t>
  </si>
  <si>
    <t>30</t>
  </si>
  <si>
    <t>11. Thu nhập khác</t>
  </si>
  <si>
    <t>31</t>
  </si>
  <si>
    <t>12. Chi phí khác</t>
  </si>
  <si>
    <t>32</t>
  </si>
  <si>
    <t>13. Lợi nhuận khác (40 = 31 - 32)</t>
  </si>
  <si>
    <t>40</t>
  </si>
  <si>
    <t>14. Tổng lợi nhuận kế toán trước thuế (50 = 30 + 40)</t>
  </si>
  <si>
    <t>50</t>
  </si>
  <si>
    <t>15. Chi phí thuế TNDN hiện hành</t>
  </si>
  <si>
    <t>51</t>
  </si>
  <si>
    <t>16. Chi phí thuế TNDN hoãn lại</t>
  </si>
  <si>
    <t>52</t>
  </si>
  <si>
    <t>17. Lợi nhuận sau thuế thu nhập doanh nghiệp (60 = 50 - 51 - 52)</t>
  </si>
  <si>
    <t>60</t>
  </si>
  <si>
    <t>18. Lãi cơ bản trên cổ phiếu (*)</t>
  </si>
  <si>
    <t>70</t>
  </si>
  <si>
    <t>19. Lãi suy giảm trên cổ phiếu (*)</t>
  </si>
  <si>
    <t>71</t>
  </si>
  <si>
    <t>Ghi chú:</t>
  </si>
  <si>
    <t>Người lập biểu</t>
  </si>
  <si>
    <t>Mẫu số: B03-DN</t>
  </si>
  <si>
    <t>BÁO CÁO LƯU CHUYỂN TIỀN TỆ</t>
  </si>
  <si>
    <t>(Theo phương pháp gián tiếp) (*)</t>
  </si>
  <si>
    <t>Năm….</t>
  </si>
  <si>
    <t>Đơn vị tính: ...........</t>
  </si>
  <si>
    <t>I. Lưu chuyển tiền từ hoạt động kinh doanh</t>
  </si>
  <si>
    <t>1. Lợi nhuận trước thuế</t>
  </si>
  <si>
    <t>2. Điều chỉnh cho các khoản</t>
  </si>
  <si>
    <t>- Khấu hao TSCĐ và BĐSĐT</t>
  </si>
  <si>
    <t>- Các khoản dự phòng</t>
  </si>
  <si>
    <t>- Lãi, lỗ chênh lệch tỷ giá hối đoái do đánh giá lại các khoản mục tiền tệ có gốc ngoại tệ</t>
  </si>
  <si>
    <t>- Lãi, lỗ từ hoạt động đầu tư</t>
  </si>
  <si>
    <t>- Chi phí lãi vay</t>
  </si>
  <si>
    <t xml:space="preserve">- Các khoản điều chỉnh khác </t>
  </si>
  <si>
    <t>3. Lợi nhuận từ hoạt động kinh doanh trước thay đổi vốn lưu động</t>
  </si>
  <si>
    <t>- Tăng, giảm các khoản phải thu</t>
  </si>
  <si>
    <t>- Tăng, giảm hàng tồn kho</t>
  </si>
  <si>
    <t>- Tăng, giảm các khoản phải trả (Không kể lãi vay phải trả, thuế thu nhập doanh nghiệp phải nộp)</t>
  </si>
  <si>
    <t>- Tăng, giảm chi phí trả trước</t>
  </si>
  <si>
    <t>- Tăng, giảm chứng khoán kinh doanh</t>
  </si>
  <si>
    <t>- Tiền lãi vay đã trả</t>
  </si>
  <si>
    <t>- Thuế thu nhập doanh nghiệp đã nộp</t>
  </si>
  <si>
    <t>- Tiền thu khác từ hoạt động kinh doanh</t>
  </si>
  <si>
    <t>- Tiền chi khác cho hoạt động kinh doanh</t>
  </si>
  <si>
    <t>Lưu chuyển tiền thuần từ hoạt động kinh doanh</t>
  </si>
  <si>
    <t>II. Lưu chuyển tiền từ hoạt động đầu tư</t>
  </si>
  <si>
    <t>1.Tiền chi để mua sắm, xây dựng TSCĐ và các tài sản dài hạn khác</t>
  </si>
  <si>
    <t>2.Tiền thu từ thanh lý, nhượng bán TSCĐ và các tài sản dài hạn khác</t>
  </si>
  <si>
    <t>3.Tiền chi cho vay, mua các công cụ nợ của đơn vị khác</t>
  </si>
  <si>
    <t>4.Tiền thu hồi cho vay, bán lại các công cụ nợ của đơn vị khác</t>
  </si>
  <si>
    <t>5.Tiền chi đầu tư góp vốn vào đơn vị khác</t>
  </si>
  <si>
    <t>6.Tiền thu hồi đầu tư góp vốn vào đơn vị khác</t>
  </si>
  <si>
    <t>7.Tiền thu lãi cho vay, cổ tức và lợi nhuận được chia</t>
  </si>
  <si>
    <t>Lưu chuyển tiền thuần từ hoạt động đầu tư</t>
  </si>
  <si>
    <t>III. Lưu chuyển tiền từ hoạt động tài chính</t>
  </si>
  <si>
    <t>1. Tiền thu từ phát hành cổ phiếu, nhận vốn góp của chủ sở hữu</t>
  </si>
  <si>
    <t xml:space="preserve">2. Tiền trả lại vốn góp cho các chủ sở hữu, mua lại cổ phiếu  của doanh nghiệp đã phát hành   </t>
  </si>
  <si>
    <t>3. Tiền thu từ đi vay</t>
  </si>
  <si>
    <t>4. Tiền trả nợ gốc vay</t>
  </si>
  <si>
    <t>5. Tiền trả nợ gốc thuê tài chính</t>
  </si>
  <si>
    <t>6. Cổ tức, lợi nhuận đã trả cho chủ sở hữu</t>
  </si>
  <si>
    <t>Lưu chuyển tiền thuần từ hoạt động tài chính</t>
  </si>
  <si>
    <t xml:space="preserve">Lưu chuyển tiền thuần trong kỳ </t>
  </si>
  <si>
    <t>Tiền và tương đương tiền đầu kỳ</t>
  </si>
  <si>
    <t>Ảnh hưởng của thay đổi tỷ giá hối đoái quy đổi ngoại tệ</t>
  </si>
  <si>
    <t>Tiền và tương đương tiền cuối kỳ (70 = 50+60+61)</t>
  </si>
  <si>
    <t>Ghi chú: Các chỉ tiêu không có số liệu thì doanh nghiệp không phải trình bày nhưng không được đánh lại “Mã số chỉ tiêu”.</t>
  </si>
  <si>
    <t>Kế toán trưởng</t>
  </si>
  <si>
    <t>Giám đốc</t>
  </si>
  <si>
    <t xml:space="preserve">   (Ký, họ tên)</t>
  </si>
  <si>
    <t>(Ký, họ tên, đóng dấu)</t>
  </si>
  <si>
    <t>- Số chứng chỉ hành nghề;</t>
  </si>
  <si>
    <t>- Đơn vị cung cấp dịch vụ kế toán</t>
  </si>
  <si>
    <r>
      <t xml:space="preserve">   </t>
    </r>
    <r>
      <rPr>
        <i/>
        <sz val="10"/>
        <rFont val="Arial"/>
        <family val="2"/>
      </rPr>
      <t>Lập, ngày ... tháng ... năm ...</t>
    </r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</si>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</sst>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6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0"/>
      <color rgb="FF00008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6"/>
      <color rgb="FFFF00FF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i/>
      <sz val="10"/>
      <color indexed="8"/>
      <name val="Arial"/>
      <family val="2"/>
    </font>
    <font>
      <b/>
      <sz val="18"/>
      <color indexed="8"/>
      <name val="Arial"/>
      <family val="2"/>
    </font>
    <font>
      <b/>
      <i/>
      <sz val="10"/>
      <color indexed="8"/>
      <name val="Arial"/>
      <family val="2"/>
    </font>
    <font>
      <u/>
      <sz val="10"/>
      <color theme="10"/>
      <name val="Arial"/>
      <family val="2"/>
    </font>
    <font>
      <i/>
      <sz val="10"/>
      <name val="Arial"/>
      <family val="2"/>
    </font>
    <font>
      <b/>
      <sz val="13"/>
      <name val="Times New Roman"/>
      <family val="1"/>
    </font>
    <font>
      <b/>
      <i/>
      <sz val="13"/>
      <name val="Times New Roman"/>
      <family val="1"/>
    </font>
    <font>
      <i/>
      <sz val="13"/>
      <name val="Times New Roman"/>
      <family val="1"/>
    </font>
    <font>
      <b/>
      <i/>
      <sz val="10"/>
      <name val="Arial"/>
      <family val="2"/>
    </font>
    <font>
      <sz val="10"/>
      <color theme="1"/>
      <name val="Arial"/>
      <family val="2"/>
    </font>
    <font>
      <sz val="10"/>
      <color theme="2" tint="-0.89999084444715716"/>
      <name val="Arial"/>
      <family val="2"/>
    </font>
    <font>
      <b/>
      <sz val="10"/>
      <color theme="2" tint="-0.89999084444715716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Border="0" applyAlignment="0" applyProtection="0"/>
    <xf numFmtId="0" fontId="17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 applyFill="1" applyAlignment="1">
      <alignment horizontal="left"/>
    </xf>
    <xf numFmtId="0" fontId="0" fillId="0" borderId="0" xfId="0" applyFill="1"/>
    <xf numFmtId="0" fontId="4" fillId="0" borderId="0" xfId="0" applyFont="1" applyFill="1" applyAlignment="1"/>
    <xf numFmtId="164" fontId="0" fillId="0" borderId="0" xfId="1" applyNumberFormat="1" applyFont="1" applyFill="1"/>
    <xf numFmtId="0" fontId="2" fillId="0" borderId="0" xfId="0" applyFont="1" applyFill="1"/>
    <xf numFmtId="0" fontId="5" fillId="0" borderId="0" xfId="0" applyFont="1" applyFill="1" applyAlignment="1"/>
    <xf numFmtId="164" fontId="6" fillId="0" borderId="0" xfId="1" applyNumberFormat="1" applyFont="1" applyFill="1"/>
    <xf numFmtId="0" fontId="6" fillId="0" borderId="0" xfId="0" applyFont="1" applyFill="1"/>
    <xf numFmtId="164" fontId="0" fillId="0" borderId="0" xfId="1" applyNumberFormat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wrapText="1"/>
    </xf>
    <xf numFmtId="0" fontId="9" fillId="0" borderId="0" xfId="0" applyNumberFormat="1" applyFont="1" applyFill="1" applyAlignment="1">
      <alignment horizontal="left" wrapText="1"/>
    </xf>
    <xf numFmtId="3" fontId="10" fillId="0" borderId="0" xfId="0" applyNumberFormat="1" applyFont="1" applyFill="1" applyAlignment="1">
      <alignment horizontal="center" wrapText="1"/>
    </xf>
    <xf numFmtId="3" fontId="10" fillId="0" borderId="0" xfId="0" applyNumberFormat="1" applyFont="1" applyFill="1" applyAlignment="1">
      <alignment wrapText="1"/>
    </xf>
    <xf numFmtId="0" fontId="0" fillId="0" borderId="0" xfId="0" applyFill="1" applyAlignment="1"/>
    <xf numFmtId="0" fontId="11" fillId="0" borderId="0" xfId="0" applyNumberFormat="1" applyFont="1" applyFill="1" applyBorder="1" applyAlignment="1" applyProtection="1">
      <alignment vertical="top" readingOrder="1"/>
    </xf>
    <xf numFmtId="0" fontId="12" fillId="0" borderId="0" xfId="0" applyNumberFormat="1" applyFont="1" applyFill="1" applyBorder="1" applyAlignment="1" applyProtection="1">
      <alignment horizontal="center" vertical="top" wrapText="1" readingOrder="1"/>
    </xf>
    <xf numFmtId="0" fontId="13" fillId="0" borderId="0" xfId="0" applyFont="1"/>
    <xf numFmtId="0" fontId="11" fillId="0" borderId="0" xfId="0" applyNumberFormat="1" applyFont="1" applyFill="1" applyBorder="1" applyAlignment="1" applyProtection="1">
      <alignment horizontal="center" vertical="top" wrapText="1" readingOrder="1"/>
    </xf>
    <xf numFmtId="0" fontId="6" fillId="0" borderId="0" xfId="0" applyFont="1" applyAlignment="1"/>
    <xf numFmtId="0" fontId="13" fillId="0" borderId="0" xfId="0" applyFont="1" applyFill="1"/>
    <xf numFmtId="0" fontId="11" fillId="0" borderId="0" xfId="0" applyNumberFormat="1" applyFont="1" applyFill="1" applyBorder="1" applyAlignment="1" applyProtection="1">
      <alignment vertical="center" readingOrder="1"/>
    </xf>
    <xf numFmtId="0" fontId="15" fillId="0" borderId="0" xfId="0" applyNumberFormat="1" applyFont="1" applyFill="1" applyBorder="1" applyAlignment="1" applyProtection="1">
      <alignment horizontal="center" vertical="center" readingOrder="1"/>
    </xf>
    <xf numFmtId="0" fontId="11" fillId="0" borderId="0" xfId="0" applyNumberFormat="1" applyFont="1" applyFill="1" applyBorder="1" applyAlignment="1" applyProtection="1">
      <alignment horizontal="center" vertical="center" readingOrder="1"/>
    </xf>
    <xf numFmtId="0" fontId="13" fillId="0" borderId="0" xfId="0" applyFont="1" applyFill="1" applyAlignment="1"/>
    <xf numFmtId="0" fontId="6" fillId="0" borderId="0" xfId="0" applyFont="1" applyFill="1" applyAlignment="1"/>
    <xf numFmtId="0" fontId="13" fillId="0" borderId="0" xfId="0" applyFont="1" applyAlignment="1"/>
    <xf numFmtId="0" fontId="17" fillId="0" borderId="0" xfId="2"/>
    <xf numFmtId="0" fontId="13" fillId="0" borderId="0" xfId="0" applyFont="1" applyAlignment="1">
      <alignment horizontal="center"/>
    </xf>
    <xf numFmtId="0" fontId="18" fillId="0" borderId="0" xfId="0" applyNumberFormat="1" applyFont="1" applyFill="1" applyBorder="1" applyAlignment="1" applyProtection="1">
      <alignment horizontal="right" vertical="top" readingOrder="1"/>
    </xf>
    <xf numFmtId="0" fontId="11" fillId="0" borderId="2" xfId="0" applyNumberFormat="1" applyFont="1" applyFill="1" applyBorder="1" applyAlignment="1" applyProtection="1">
      <alignment horizontal="center" vertical="center" wrapText="1" readingOrder="1"/>
    </xf>
    <xf numFmtId="0" fontId="13" fillId="0" borderId="0" xfId="0" applyFont="1" applyAlignment="1">
      <alignment horizontal="center" wrapText="1"/>
    </xf>
    <xf numFmtId="0" fontId="11" fillId="0" borderId="2" xfId="0" applyNumberFormat="1" applyFont="1" applyFill="1" applyBorder="1" applyAlignment="1" applyProtection="1">
      <alignment vertical="center" wrapText="1" readingOrder="1"/>
    </xf>
    <xf numFmtId="0" fontId="13" fillId="0" borderId="0" xfId="0" applyFont="1" applyAlignment="1">
      <alignment wrapText="1"/>
    </xf>
    <xf numFmtId="0" fontId="12" fillId="0" borderId="2" xfId="0" applyNumberFormat="1" applyFont="1" applyFill="1" applyBorder="1" applyAlignment="1" applyProtection="1">
      <alignment vertical="center" wrapText="1" readingOrder="1"/>
    </xf>
    <xf numFmtId="0" fontId="12" fillId="0" borderId="2" xfId="0" applyNumberFormat="1" applyFont="1" applyFill="1" applyBorder="1" applyAlignment="1" applyProtection="1">
      <alignment horizontal="center" vertical="center" wrapText="1" readingOrder="1"/>
    </xf>
    <xf numFmtId="0" fontId="14" fillId="0" borderId="0" xfId="0" applyNumberFormat="1" applyFont="1" applyFill="1" applyBorder="1" applyAlignment="1" applyProtection="1">
      <alignment horizontal="center" vertical="center" wrapText="1" readingOrder="1"/>
    </xf>
    <xf numFmtId="0" fontId="16" fillId="0" borderId="0" xfId="0" applyNumberFormat="1" applyFont="1" applyFill="1" applyBorder="1" applyAlignment="1" applyProtection="1">
      <alignment horizontal="center" vertical="top" readingOrder="1"/>
    </xf>
    <xf numFmtId="0" fontId="13" fillId="0" borderId="0" xfId="0" applyFont="1" applyFill="1" applyAlignment="1">
      <alignment horizontal="center"/>
    </xf>
    <xf numFmtId="0" fontId="14" fillId="0" borderId="0" xfId="0" applyNumberFormat="1" applyFont="1" applyFill="1" applyBorder="1" applyAlignment="1" applyProtection="1">
      <alignment vertical="top" readingOrder="1"/>
    </xf>
    <xf numFmtId="0" fontId="13" fillId="0" borderId="4" xfId="0" applyNumberFormat="1" applyFont="1" applyFill="1" applyBorder="1" applyAlignment="1" applyProtection="1">
      <alignment vertical="top"/>
    </xf>
    <xf numFmtId="0" fontId="13" fillId="0" borderId="4" xfId="0" applyNumberFormat="1" applyFont="1" applyFill="1" applyBorder="1" applyAlignment="1" applyProtection="1">
      <alignment horizontal="center" vertical="top"/>
    </xf>
    <xf numFmtId="0" fontId="16" fillId="0" borderId="0" xfId="0" applyNumberFormat="1" applyFont="1" applyFill="1" applyBorder="1" applyAlignment="1" applyProtection="1">
      <alignment vertical="center" readingOrder="1"/>
    </xf>
    <xf numFmtId="0" fontId="14" fillId="0" borderId="0" xfId="0" applyNumberFormat="1" applyFont="1" applyFill="1" applyBorder="1" applyAlignment="1" applyProtection="1">
      <alignment horizontal="center" vertical="top" readingOrder="1"/>
    </xf>
    <xf numFmtId="0" fontId="14" fillId="0" borderId="0" xfId="0" applyNumberFormat="1" applyFont="1" applyFill="1" applyBorder="1" applyAlignment="1" applyProtection="1">
      <alignment vertical="center" readingOrder="1"/>
    </xf>
    <xf numFmtId="0" fontId="11" fillId="0" borderId="0" xfId="0" applyNumberFormat="1" applyFont="1" applyFill="1" applyBorder="1" applyAlignment="1" applyProtection="1">
      <alignment horizontal="center" vertical="top" readingOrder="1"/>
    </xf>
    <xf numFmtId="0" fontId="14" fillId="0" borderId="0" xfId="0" applyNumberFormat="1" applyFont="1" applyFill="1" applyBorder="1" applyAlignment="1" applyProtection="1">
      <alignment horizontal="center" vertical="center" readingOrder="1"/>
    </xf>
    <xf numFmtId="0" fontId="19" fillId="0" borderId="0" xfId="0" applyFont="1" applyAlignment="1">
      <alignment horizontal="center" vertical="center"/>
    </xf>
    <xf numFmtId="0" fontId="0" fillId="0" borderId="0" xfId="0" applyAlignment="1"/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justify" vertical="center"/>
    </xf>
    <xf numFmtId="3" fontId="6" fillId="0" borderId="2" xfId="0" applyNumberFormat="1" applyFont="1" applyFill="1" applyBorder="1" applyAlignment="1" applyProtection="1">
      <alignment horizontal="center" vertical="center" wrapText="1" readingOrder="1"/>
    </xf>
    <xf numFmtId="3" fontId="6" fillId="0" borderId="2" xfId="0" applyNumberFormat="1" applyFont="1" applyFill="1" applyBorder="1" applyAlignment="1" applyProtection="1">
      <alignment vertical="center" wrapText="1" readingOrder="1"/>
    </xf>
    <xf numFmtId="3" fontId="13" fillId="0" borderId="2" xfId="0" applyNumberFormat="1" applyFont="1" applyFill="1" applyBorder="1" applyAlignment="1">
      <alignment wrapText="1"/>
    </xf>
    <xf numFmtId="3" fontId="13" fillId="0" borderId="2" xfId="0" applyNumberFormat="1" applyFont="1" applyFill="1" applyBorder="1" applyAlignment="1" applyProtection="1">
      <alignment vertical="center" wrapText="1" readingOrder="1"/>
    </xf>
    <xf numFmtId="3" fontId="13" fillId="0" borderId="2" xfId="0" quotePrefix="1" applyNumberFormat="1" applyFont="1" applyFill="1" applyBorder="1" applyAlignment="1">
      <alignment wrapText="1"/>
    </xf>
    <xf numFmtId="3" fontId="13" fillId="0" borderId="3" xfId="0" applyNumberFormat="1" applyFont="1" applyFill="1" applyBorder="1" applyAlignment="1" applyProtection="1">
      <alignment vertical="center" wrapText="1" readingOrder="1"/>
    </xf>
    <xf numFmtId="3" fontId="6" fillId="0" borderId="2" xfId="0" applyNumberFormat="1" applyFont="1" applyFill="1" applyBorder="1" applyAlignment="1">
      <alignment wrapText="1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justify" vertical="center"/>
    </xf>
    <xf numFmtId="0" fontId="13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justify" vertical="center"/>
    </xf>
    <xf numFmtId="0" fontId="13" fillId="0" borderId="7" xfId="0" applyFont="1" applyBorder="1" applyAlignment="1">
      <alignment horizontal="center" vertical="center"/>
    </xf>
    <xf numFmtId="0" fontId="13" fillId="0" borderId="7" xfId="0" applyFont="1" applyBorder="1" applyAlignment="1">
      <alignment horizontal="justify" vertical="center"/>
    </xf>
    <xf numFmtId="0" fontId="13" fillId="0" borderId="7" xfId="0" applyFont="1" applyBorder="1" applyAlignment="1">
      <alignment vertical="center"/>
    </xf>
    <xf numFmtId="0" fontId="23" fillId="0" borderId="7" xfId="0" applyFont="1" applyBorder="1" applyAlignment="1">
      <alignment vertical="top"/>
    </xf>
    <xf numFmtId="0" fontId="22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justify" vertical="center"/>
    </xf>
    <xf numFmtId="0" fontId="22" fillId="0" borderId="7" xfId="0" applyFont="1" applyBorder="1" applyAlignment="1">
      <alignment vertical="center"/>
    </xf>
    <xf numFmtId="0" fontId="22" fillId="0" borderId="7" xfId="0" applyFont="1" applyBorder="1"/>
    <xf numFmtId="0" fontId="6" fillId="0" borderId="7" xfId="0" applyFont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justify" vertical="center"/>
    </xf>
    <xf numFmtId="0" fontId="6" fillId="0" borderId="8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23" fillId="0" borderId="0" xfId="0" applyFont="1" applyAlignment="1"/>
    <xf numFmtId="0" fontId="23" fillId="0" borderId="0" xfId="0" applyFont="1" applyFill="1" applyAlignment="1"/>
    <xf numFmtId="0" fontId="13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Fill="1" applyAlignment="1">
      <alignment vertical="center"/>
    </xf>
    <xf numFmtId="0" fontId="13" fillId="0" borderId="0" xfId="0" quotePrefix="1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24" fillId="0" borderId="2" xfId="0" applyNumberFormat="1" applyFont="1" applyFill="1" applyBorder="1" applyAlignment="1" applyProtection="1">
      <alignment vertical="center" wrapText="1" readingOrder="1"/>
    </xf>
    <xf numFmtId="0" fontId="24" fillId="0" borderId="2" xfId="0" applyNumberFormat="1" applyFont="1" applyFill="1" applyBorder="1" applyAlignment="1" applyProtection="1">
      <alignment horizontal="center" vertical="center" wrapText="1" readingOrder="1"/>
    </xf>
    <xf numFmtId="3" fontId="24" fillId="0" borderId="2" xfId="0" applyNumberFormat="1" applyFont="1" applyFill="1" applyBorder="1" applyAlignment="1" applyProtection="1">
      <alignment vertical="center" wrapText="1" readingOrder="1"/>
    </xf>
    <xf numFmtId="0" fontId="24" fillId="0" borderId="0" xfId="0" applyFont="1" applyFill="1"/>
    <xf numFmtId="3" fontId="25" fillId="0" borderId="2" xfId="0" applyNumberFormat="1" applyFont="1" applyFill="1" applyBorder="1"/>
    <xf numFmtId="3" fontId="25" fillId="0" borderId="2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>
      <alignment horizontal="center" vertical="top" readingOrder="1"/>
    </xf>
    <xf numFmtId="0" fontId="13" fillId="0" borderId="7" xfId="0" applyFont="1" applyBorder="1" applyAlignment="1">
      <alignment horizontal="center" vertical="center"/>
    </xf>
    <xf numFmtId="3" fontId="13" fillId="0" borderId="6" xfId="0" applyNumberFormat="1" applyFont="1" applyFill="1" applyBorder="1" applyAlignment="1">
      <alignment horizontal="right" vertical="center"/>
    </xf>
    <xf numFmtId="3" fontId="13" fillId="0" borderId="6" xfId="0" applyNumberFormat="1" applyFont="1" applyBorder="1" applyAlignment="1">
      <alignment horizontal="right" vertical="center"/>
    </xf>
    <xf numFmtId="3" fontId="6" fillId="0" borderId="7" xfId="0" applyNumberFormat="1" applyFont="1" applyFill="1" applyBorder="1" applyAlignment="1">
      <alignment horizontal="right" vertical="center"/>
    </xf>
    <xf numFmtId="3" fontId="13" fillId="0" borderId="7" xfId="0" quotePrefix="1" applyNumberFormat="1" applyFont="1" applyFill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wrapText="1"/>
    </xf>
    <xf numFmtId="3" fontId="6" fillId="0" borderId="7" xfId="0" applyNumberFormat="1" applyFont="1" applyFill="1" applyBorder="1" applyAlignment="1">
      <alignment horizontal="right" vertical="center" wrapText="1"/>
    </xf>
    <xf numFmtId="3" fontId="18" fillId="0" borderId="7" xfId="0" applyNumberFormat="1" applyFont="1" applyBorder="1" applyAlignment="1">
      <alignment horizontal="right" vertical="center"/>
    </xf>
    <xf numFmtId="3" fontId="18" fillId="0" borderId="7" xfId="0" applyNumberFormat="1" applyFont="1" applyFill="1" applyBorder="1" applyAlignment="1">
      <alignment horizontal="right" vertical="center"/>
    </xf>
    <xf numFmtId="3" fontId="6" fillId="0" borderId="8" xfId="0" applyNumberFormat="1" applyFont="1" applyFill="1" applyBorder="1" applyAlignment="1">
      <alignment horizontal="right" vertical="center" wrapText="1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13" fillId="0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vertical="center"/>
    </xf>
    <xf numFmtId="0" fontId="8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0" borderId="0" xfId="0" applyFill="1"/>
    <xf numFmtId="164" fontId="0" fillId="0" borderId="0" xfId="1" applyNumberFormat="1" applyFont="1"/>
    <xf numFmtId="0" fontId="3" fillId="0" borderId="0" xfId="0" applyFont="1" applyFill="1" applyAlignment="1">
      <alignment horizont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0" fontId="11" fillId="0" borderId="0" xfId="0" applyNumberFormat="1" applyFont="1" applyFill="1" applyBorder="1" applyAlignment="1" applyProtection="1">
      <alignment horizontal="center" vertical="center" readingOrder="1"/>
    </xf>
    <xf numFmtId="0" fontId="14" fillId="0" borderId="0" xfId="0" applyNumberFormat="1" applyFont="1" applyFill="1" applyBorder="1" applyAlignment="1" applyProtection="1">
      <alignment horizontal="center" vertical="center" wrapText="1" readingOrder="1"/>
    </xf>
    <xf numFmtId="0" fontId="15" fillId="0" borderId="0" xfId="0" applyNumberFormat="1" applyFont="1" applyFill="1" applyBorder="1" applyAlignment="1" applyProtection="1">
      <alignment horizontal="center" vertical="center" readingOrder="1"/>
    </xf>
    <xf numFmtId="0" fontId="16" fillId="0" borderId="0" xfId="0" applyNumberFormat="1" applyFont="1" applyFill="1" applyBorder="1" applyAlignment="1" applyProtection="1">
      <alignment horizontal="center" vertical="top" readingOrder="1"/>
    </xf>
    <xf numFmtId="0" fontId="13" fillId="0" borderId="7" xfId="0" applyFont="1" applyBorder="1" applyAlignment="1">
      <alignment horizontal="justify" vertical="center"/>
    </xf>
    <xf numFmtId="0" fontId="13" fillId="0" borderId="7" xfId="0" applyFont="1" applyBorder="1" applyAlignment="1">
      <alignment horizontal="center" vertical="center"/>
    </xf>
    <xf numFmtId="3" fontId="13" fillId="0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</cellXfs>
  <cellStyles count="3">
    <cellStyle name="Comma 9" xfId="1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00"/>
  <sheetViews>
    <sheetView topLeftCell="A7" workbookViewId="0">
      <selection activeCell="C9" sqref="C9"/>
    </sheetView>
  </sheetViews>
  <sheetFormatPr defaultColWidth="9.125" defaultRowHeight="14.25" x14ac:dyDescent="0.2"/>
  <cols>
    <col min="1" max="1" width="2.125" style="2" customWidth="1"/>
    <col min="2" max="2" width="13.625" style="2" customWidth="1"/>
    <col min="3" max="3" width="52.25" style="2" customWidth="1"/>
    <col min="4" max="7" width="16.75" style="9" customWidth="1"/>
    <col min="8" max="9" width="16.75" style="2" customWidth="1"/>
    <col min="10" max="10" width="2.25" style="5" customWidth="1"/>
    <col min="11" max="11" width="22.75" style="2" customWidth="1"/>
    <col min="12" max="12" width="16.25" style="2" customWidth="1"/>
    <col min="13" max="13" width="9.125" style="2" customWidth="1"/>
    <col min="14" max="16384" width="9.125" style="2"/>
  </cols>
  <sheetData>
    <row r="1" spans="2:11" ht="20.100000000000001" customHeight="1" x14ac:dyDescent="0.2">
      <c r="B1" s="1"/>
      <c r="D1" s="3"/>
      <c r="E1" s="4"/>
      <c r="F1" s="4"/>
      <c r="G1" s="4"/>
    </row>
    <row r="2" spans="2:11" ht="20.100000000000001" customHeight="1" x14ac:dyDescent="0.2">
      <c r="B2" s="1"/>
      <c r="D2" s="6"/>
      <c r="E2" s="4"/>
      <c r="F2" s="4"/>
      <c r="G2" s="4"/>
    </row>
    <row r="3" spans="2:11" ht="20.100000000000001" customHeight="1" x14ac:dyDescent="0.2">
      <c r="B3" s="1"/>
      <c r="D3" s="6"/>
      <c r="E3" s="4"/>
      <c r="F3" s="4"/>
      <c r="G3" s="4"/>
    </row>
    <row r="4" spans="2:11" x14ac:dyDescent="0.2">
      <c r="D4" s="3"/>
      <c r="E4" s="7"/>
      <c r="F4" s="7"/>
      <c r="G4" s="7"/>
      <c r="H4" s="8"/>
      <c r="I4" s="8"/>
    </row>
    <row r="7" spans="2:11" ht="20.25" x14ac:dyDescent="0.3">
      <c r="B7" s="118" t="s">
        <v>0</v>
      </c>
      <c r="C7" s="119"/>
      <c r="D7" s="120"/>
      <c r="E7" s="120"/>
      <c r="F7" s="120"/>
      <c r="G7" s="120"/>
      <c r="H7" s="119"/>
      <c r="I7" s="119"/>
    </row>
    <row r="8" spans="2:11" x14ac:dyDescent="0.2">
      <c r="B8" s="121" t="s">
        <v>1</v>
      </c>
      <c r="C8" s="119"/>
      <c r="D8" s="120"/>
      <c r="E8" s="120"/>
      <c r="F8" s="120"/>
      <c r="G8" s="120"/>
      <c r="H8" s="119"/>
      <c r="I8" s="119"/>
    </row>
    <row r="9" spans="2:11" x14ac:dyDescent="0.2">
      <c r="I9" s="10" t="s">
        <v>2</v>
      </c>
    </row>
    <row r="10" spans="2:11" s="12" customFormat="1" x14ac:dyDescent="0.2">
      <c r="B10" s="122" t="s">
        <v>3</v>
      </c>
      <c r="C10" s="122" t="s">
        <v>4</v>
      </c>
      <c r="D10" s="122" t="s">
        <v>5</v>
      </c>
      <c r="E10" s="124"/>
      <c r="F10" s="122" t="s">
        <v>6</v>
      </c>
      <c r="G10" s="124"/>
      <c r="H10" s="122" t="s">
        <v>7</v>
      </c>
      <c r="I10" s="123"/>
      <c r="J10" s="11"/>
      <c r="K10" s="117"/>
    </row>
    <row r="11" spans="2:11" s="12" customFormat="1" x14ac:dyDescent="0.2">
      <c r="B11" s="123"/>
      <c r="C11" s="123"/>
      <c r="D11" s="13" t="s">
        <v>8</v>
      </c>
      <c r="E11" s="13" t="s">
        <v>9</v>
      </c>
      <c r="F11" s="13" t="s">
        <v>8</v>
      </c>
      <c r="G11" s="13" t="s">
        <v>9</v>
      </c>
      <c r="H11" s="13" t="s">
        <v>8</v>
      </c>
      <c r="I11" s="13" t="s">
        <v>9</v>
      </c>
      <c r="J11" s="11"/>
      <c r="K11" s="117"/>
    </row>
    <row r="12" spans="2:11" x14ac:dyDescent="0.2">
      <c r="B12" s="14" t="s">
        <v>356</v>
      </c>
      <c r="C12" s="14" t="s">
        <v>357</v>
      </c>
      <c r="D12" s="14">
        <v>1</v>
      </c>
      <c r="E12" s="14">
        <v>2</v>
      </c>
      <c r="F12" s="14">
        <v>3</v>
      </c>
      <c r="G12" s="14">
        <v>4</v>
      </c>
      <c r="H12" s="14">
        <v>5</v>
      </c>
      <c r="I12" s="14">
        <v>6</v>
      </c>
      <c r="J12" s="15"/>
      <c r="K12" s="117"/>
    </row>
    <row r="13" spans="2:11" ht="15.75" customHeight="1" x14ac:dyDescent="0.2"/>
    <row r="14" spans="2:11" ht="15.75" customHeight="1" x14ac:dyDescent="0.2"/>
    <row r="15" spans="2:11" ht="15.75" customHeight="1" x14ac:dyDescent="0.2"/>
    <row r="16" spans="2:11" ht="15.75" customHeight="1" x14ac:dyDescent="0.2"/>
    <row r="17" spans="3:9" ht="15.75" customHeight="1" x14ac:dyDescent="0.2"/>
    <row r="18" spans="3:9" ht="15.75" customHeight="1" x14ac:dyDescent="0.2"/>
    <row r="19" spans="3:9" ht="15.75" customHeight="1" x14ac:dyDescent="0.2"/>
    <row r="20" spans="3:9" ht="15.75" customHeight="1" x14ac:dyDescent="0.2">
      <c r="C20" s="16"/>
      <c r="G20" s="17"/>
      <c r="H20" s="18"/>
      <c r="I20" s="18"/>
    </row>
    <row r="21" spans="3:9" ht="15.75" customHeight="1" x14ac:dyDescent="0.2"/>
    <row r="22" spans="3:9" ht="15.75" customHeight="1" x14ac:dyDescent="0.2"/>
    <row r="23" spans="3:9" ht="15.75" customHeight="1" x14ac:dyDescent="0.2"/>
    <row r="24" spans="3:9" ht="15.75" customHeight="1" x14ac:dyDescent="0.2"/>
    <row r="25" spans="3:9" ht="15.75" customHeight="1" x14ac:dyDescent="0.2"/>
    <row r="26" spans="3:9" ht="15.75" customHeight="1" x14ac:dyDescent="0.2"/>
    <row r="27" spans="3:9" ht="15.75" customHeight="1" x14ac:dyDescent="0.2"/>
    <row r="28" spans="3:9" ht="15.75" customHeight="1" x14ac:dyDescent="0.2"/>
    <row r="29" spans="3:9" ht="15.75" customHeight="1" x14ac:dyDescent="0.2"/>
    <row r="30" spans="3:9" ht="15.75" customHeight="1" x14ac:dyDescent="0.2"/>
    <row r="31" spans="3:9" ht="15.75" customHeight="1" x14ac:dyDescent="0.2"/>
    <row r="32" spans="3:9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</sheetData>
  <mergeCells count="8">
    <mergeCell ref="K10:K12"/>
    <mergeCell ref="B7:I7"/>
    <mergeCell ref="B8:I8"/>
    <mergeCell ref="B10:B11"/>
    <mergeCell ref="C10:C11"/>
    <mergeCell ref="D10:E10"/>
    <mergeCell ref="F10:G10"/>
    <mergeCell ref="H10:I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4"/>
  <sheetViews>
    <sheetView workbookViewId="0">
      <selection activeCell="D16" sqref="D16"/>
    </sheetView>
  </sheetViews>
  <sheetFormatPr defaultColWidth="9.125" defaultRowHeight="12.75" x14ac:dyDescent="0.2"/>
  <cols>
    <col min="1" max="1" width="49.375" style="21" customWidth="1"/>
    <col min="2" max="2" width="11.375" style="32" customWidth="1"/>
    <col min="3" max="3" width="10.875" style="32" customWidth="1"/>
    <col min="4" max="4" width="36.125" style="24" customWidth="1"/>
    <col min="5" max="5" width="22.375" style="21" customWidth="1"/>
    <col min="6" max="16384" width="9.125" style="21"/>
  </cols>
  <sheetData>
    <row r="1" spans="1:8" ht="14.65" customHeight="1" x14ac:dyDescent="0.2">
      <c r="A1" s="19" t="s">
        <v>10</v>
      </c>
      <c r="B1" s="20"/>
      <c r="C1" s="20"/>
      <c r="D1" s="125" t="s">
        <v>11</v>
      </c>
      <c r="E1" s="125"/>
    </row>
    <row r="2" spans="1:8" ht="13.9" customHeight="1" x14ac:dyDescent="0.2">
      <c r="A2" s="19" t="s">
        <v>12</v>
      </c>
      <c r="B2" s="22"/>
      <c r="C2" s="22"/>
      <c r="D2" s="126" t="s">
        <v>13</v>
      </c>
      <c r="E2" s="126"/>
    </row>
    <row r="3" spans="1:8" x14ac:dyDescent="0.2">
      <c r="A3" s="23" t="s">
        <v>14</v>
      </c>
      <c r="B3" s="22"/>
      <c r="C3" s="22"/>
      <c r="D3" s="126"/>
      <c r="E3" s="126"/>
    </row>
    <row r="4" spans="1:8" x14ac:dyDescent="0.2">
      <c r="A4" s="23"/>
      <c r="B4" s="22"/>
      <c r="C4" s="22"/>
      <c r="D4" s="3"/>
      <c r="E4" s="24"/>
      <c r="F4" s="24"/>
      <c r="G4" s="24"/>
      <c r="H4" s="24"/>
    </row>
    <row r="5" spans="1:8" s="30" customFormat="1" ht="22.9" customHeight="1" x14ac:dyDescent="0.2">
      <c r="A5" s="25"/>
      <c r="B5" s="26"/>
      <c r="C5" s="27"/>
      <c r="D5" s="6"/>
      <c r="E5" s="28"/>
      <c r="F5" s="29"/>
      <c r="G5" s="28"/>
      <c r="H5" s="28"/>
    </row>
    <row r="6" spans="1:8" s="30" customFormat="1" ht="23.25" x14ac:dyDescent="0.2">
      <c r="A6" s="127" t="s">
        <v>15</v>
      </c>
      <c r="B6" s="127"/>
      <c r="C6" s="127"/>
      <c r="D6" s="127"/>
      <c r="E6" s="127"/>
      <c r="F6" s="28"/>
      <c r="G6" s="28"/>
      <c r="H6" s="28"/>
    </row>
    <row r="7" spans="1:8" s="30" customFormat="1" ht="17.649999999999999" customHeight="1" x14ac:dyDescent="0.2">
      <c r="A7" s="128" t="s">
        <v>16</v>
      </c>
      <c r="B7" s="128"/>
      <c r="C7" s="128"/>
      <c r="D7" s="128"/>
      <c r="E7" s="128"/>
      <c r="F7" s="28"/>
      <c r="G7" s="28"/>
      <c r="H7" s="28"/>
    </row>
    <row r="8" spans="1:8" ht="19.899999999999999" customHeight="1" x14ac:dyDescent="0.2">
      <c r="A8" s="31"/>
      <c r="E8" s="33" t="s">
        <v>17</v>
      </c>
    </row>
    <row r="9" spans="1:8" s="35" customFormat="1" x14ac:dyDescent="0.2">
      <c r="A9" s="34" t="s">
        <v>18</v>
      </c>
      <c r="B9" s="34" t="s">
        <v>19</v>
      </c>
      <c r="C9" s="34" t="s">
        <v>20</v>
      </c>
      <c r="D9" s="55" t="s">
        <v>21</v>
      </c>
      <c r="E9" s="55" t="s">
        <v>22</v>
      </c>
    </row>
    <row r="10" spans="1:8" s="35" customFormat="1" x14ac:dyDescent="0.2">
      <c r="A10" s="34" t="s">
        <v>23</v>
      </c>
      <c r="B10" s="34" t="s">
        <v>24</v>
      </c>
      <c r="C10" s="34" t="s">
        <v>25</v>
      </c>
      <c r="D10" s="55" t="s">
        <v>26</v>
      </c>
      <c r="E10" s="55" t="s">
        <v>27</v>
      </c>
    </row>
    <row r="11" spans="1:8" s="37" customFormat="1" ht="15.75" customHeight="1" x14ac:dyDescent="0.2">
      <c r="A11" s="36" t="s">
        <v>28</v>
      </c>
      <c r="B11" s="34" t="s">
        <v>29</v>
      </c>
      <c r="C11" s="34"/>
      <c r="D11" s="61"/>
      <c r="E11" s="56"/>
    </row>
    <row r="12" spans="1:8" s="37" customFormat="1" ht="15.75" customHeight="1" x14ac:dyDescent="0.2">
      <c r="A12" s="36" t="s">
        <v>30</v>
      </c>
      <c r="B12" s="34" t="s">
        <v>31</v>
      </c>
      <c r="C12" s="34"/>
      <c r="D12" s="61"/>
      <c r="E12" s="56"/>
    </row>
    <row r="13" spans="1:8" s="37" customFormat="1" ht="15.75" customHeight="1" x14ac:dyDescent="0.2">
      <c r="A13" s="38" t="s">
        <v>32</v>
      </c>
      <c r="B13" s="39" t="s">
        <v>33</v>
      </c>
      <c r="C13" s="39"/>
      <c r="D13" s="57"/>
      <c r="E13" s="58"/>
    </row>
    <row r="14" spans="1:8" s="37" customFormat="1" ht="15.75" customHeight="1" x14ac:dyDescent="0.2">
      <c r="A14" s="38" t="s">
        <v>34</v>
      </c>
      <c r="B14" s="39" t="s">
        <v>35</v>
      </c>
      <c r="C14" s="39"/>
      <c r="D14" s="57"/>
      <c r="E14" s="58"/>
    </row>
    <row r="15" spans="1:8" s="37" customFormat="1" ht="15.75" customHeight="1" x14ac:dyDescent="0.2">
      <c r="A15" s="36" t="s">
        <v>36</v>
      </c>
      <c r="B15" s="34" t="s">
        <v>37</v>
      </c>
      <c r="C15" s="34"/>
      <c r="D15" s="61"/>
      <c r="E15" s="56"/>
    </row>
    <row r="16" spans="1:8" s="37" customFormat="1" ht="15.75" customHeight="1" x14ac:dyDescent="0.2">
      <c r="A16" s="38" t="s">
        <v>38</v>
      </c>
      <c r="B16" s="39" t="s">
        <v>39</v>
      </c>
      <c r="C16" s="39"/>
      <c r="D16" s="57"/>
      <c r="E16" s="58"/>
    </row>
    <row r="17" spans="1:5" s="37" customFormat="1" ht="15.75" customHeight="1" x14ac:dyDescent="0.2">
      <c r="A17" s="38" t="s">
        <v>40</v>
      </c>
      <c r="B17" s="39" t="s">
        <v>41</v>
      </c>
      <c r="C17" s="39"/>
      <c r="D17" s="59"/>
      <c r="E17" s="58"/>
    </row>
    <row r="18" spans="1:5" s="37" customFormat="1" ht="15.75" customHeight="1" x14ac:dyDescent="0.2">
      <c r="A18" s="38" t="s">
        <v>42</v>
      </c>
      <c r="B18" s="39" t="s">
        <v>43</v>
      </c>
      <c r="C18" s="39"/>
      <c r="D18" s="57"/>
      <c r="E18" s="58"/>
    </row>
    <row r="19" spans="1:5" s="37" customFormat="1" ht="15.75" customHeight="1" x14ac:dyDescent="0.2">
      <c r="A19" s="36" t="s">
        <v>44</v>
      </c>
      <c r="B19" s="34" t="s">
        <v>45</v>
      </c>
      <c r="C19" s="34"/>
      <c r="D19" s="61"/>
      <c r="E19" s="56"/>
    </row>
    <row r="20" spans="1:5" s="37" customFormat="1" ht="15.75" customHeight="1" x14ac:dyDescent="0.2">
      <c r="A20" s="38" t="s">
        <v>46</v>
      </c>
      <c r="B20" s="39" t="s">
        <v>47</v>
      </c>
      <c r="C20" s="39"/>
      <c r="D20" s="57"/>
      <c r="E20" s="58"/>
    </row>
    <row r="21" spans="1:5" s="37" customFormat="1" ht="15.75" customHeight="1" x14ac:dyDescent="0.2">
      <c r="A21" s="38" t="s">
        <v>48</v>
      </c>
      <c r="B21" s="39" t="s">
        <v>49</v>
      </c>
      <c r="C21" s="39"/>
      <c r="D21" s="57"/>
      <c r="E21" s="58"/>
    </row>
    <row r="22" spans="1:5" s="37" customFormat="1" ht="15.75" customHeight="1" x14ac:dyDescent="0.2">
      <c r="A22" s="38" t="s">
        <v>50</v>
      </c>
      <c r="B22" s="39" t="s">
        <v>51</v>
      </c>
      <c r="C22" s="39"/>
      <c r="D22" s="57"/>
      <c r="E22" s="58"/>
    </row>
    <row r="23" spans="1:5" s="37" customFormat="1" ht="15.75" customHeight="1" x14ac:dyDescent="0.2">
      <c r="A23" s="38" t="s">
        <v>52</v>
      </c>
      <c r="B23" s="39" t="s">
        <v>53</v>
      </c>
      <c r="C23" s="39"/>
      <c r="D23" s="57"/>
      <c r="E23" s="58"/>
    </row>
    <row r="24" spans="1:5" s="37" customFormat="1" ht="15.75" customHeight="1" x14ac:dyDescent="0.2">
      <c r="A24" s="38" t="s">
        <v>54</v>
      </c>
      <c r="B24" s="39" t="s">
        <v>55</v>
      </c>
      <c r="C24" s="39"/>
      <c r="D24" s="57"/>
      <c r="E24" s="58"/>
    </row>
    <row r="25" spans="1:5" s="37" customFormat="1" ht="15.75" customHeight="1" x14ac:dyDescent="0.2">
      <c r="A25" s="38" t="s">
        <v>56</v>
      </c>
      <c r="B25" s="39" t="s">
        <v>57</v>
      </c>
      <c r="C25" s="39"/>
      <c r="D25" s="57"/>
      <c r="E25" s="58"/>
    </row>
    <row r="26" spans="1:5" s="37" customFormat="1" ht="15.75" customHeight="1" x14ac:dyDescent="0.2">
      <c r="A26" s="38" t="s">
        <v>58</v>
      </c>
      <c r="B26" s="39" t="s">
        <v>59</v>
      </c>
      <c r="C26" s="39"/>
      <c r="D26" s="59"/>
      <c r="E26" s="58"/>
    </row>
    <row r="27" spans="1:5" s="37" customFormat="1" ht="15.75" customHeight="1" x14ac:dyDescent="0.2">
      <c r="A27" s="38" t="s">
        <v>60</v>
      </c>
      <c r="B27" s="39" t="s">
        <v>61</v>
      </c>
      <c r="C27" s="39"/>
      <c r="D27" s="57"/>
      <c r="E27" s="58"/>
    </row>
    <row r="28" spans="1:5" s="37" customFormat="1" ht="15.75" customHeight="1" x14ac:dyDescent="0.2">
      <c r="A28" s="36" t="s">
        <v>62</v>
      </c>
      <c r="B28" s="34" t="s">
        <v>63</v>
      </c>
      <c r="C28" s="34"/>
      <c r="D28" s="61"/>
      <c r="E28" s="56"/>
    </row>
    <row r="29" spans="1:5" s="37" customFormat="1" ht="15.75" customHeight="1" x14ac:dyDescent="0.2">
      <c r="A29" s="38" t="s">
        <v>64</v>
      </c>
      <c r="B29" s="39" t="s">
        <v>65</v>
      </c>
      <c r="C29" s="39"/>
      <c r="D29" s="57"/>
      <c r="E29" s="60"/>
    </row>
    <row r="30" spans="1:5" s="37" customFormat="1" ht="15.75" customHeight="1" x14ac:dyDescent="0.2">
      <c r="A30" s="38" t="s">
        <v>66</v>
      </c>
      <c r="B30" s="39" t="s">
        <v>67</v>
      </c>
      <c r="C30" s="39"/>
      <c r="D30" s="59"/>
      <c r="E30" s="58"/>
    </row>
    <row r="31" spans="1:5" s="37" customFormat="1" ht="15.75" customHeight="1" x14ac:dyDescent="0.2">
      <c r="A31" s="36" t="s">
        <v>68</v>
      </c>
      <c r="B31" s="34" t="s">
        <v>69</v>
      </c>
      <c r="C31" s="34"/>
      <c r="D31" s="61"/>
      <c r="E31" s="56"/>
    </row>
    <row r="32" spans="1:5" s="37" customFormat="1" ht="15.75" customHeight="1" x14ac:dyDescent="0.2">
      <c r="A32" s="38" t="s">
        <v>70</v>
      </c>
      <c r="B32" s="39" t="s">
        <v>71</v>
      </c>
      <c r="C32" s="39"/>
      <c r="D32" s="57"/>
      <c r="E32" s="58"/>
    </row>
    <row r="33" spans="1:5" s="37" customFormat="1" ht="15.75" customHeight="1" x14ac:dyDescent="0.2">
      <c r="A33" s="38" t="s">
        <v>72</v>
      </c>
      <c r="B33" s="39" t="s">
        <v>73</v>
      </c>
      <c r="C33" s="39"/>
      <c r="D33" s="57"/>
      <c r="E33" s="58"/>
    </row>
    <row r="34" spans="1:5" s="37" customFormat="1" ht="15.75" customHeight="1" x14ac:dyDescent="0.2">
      <c r="A34" s="38" t="s">
        <v>74</v>
      </c>
      <c r="B34" s="39" t="s">
        <v>75</v>
      </c>
      <c r="C34" s="39"/>
      <c r="D34" s="57"/>
      <c r="E34" s="58"/>
    </row>
    <row r="35" spans="1:5" s="37" customFormat="1" ht="15.75" customHeight="1" x14ac:dyDescent="0.2">
      <c r="A35" s="38" t="s">
        <v>76</v>
      </c>
      <c r="B35" s="39" t="s">
        <v>77</v>
      </c>
      <c r="C35" s="39"/>
      <c r="D35" s="57"/>
      <c r="E35" s="58"/>
    </row>
    <row r="36" spans="1:5" s="37" customFormat="1" ht="15.75" customHeight="1" x14ac:dyDescent="0.2">
      <c r="A36" s="38" t="s">
        <v>78</v>
      </c>
      <c r="B36" s="39" t="s">
        <v>79</v>
      </c>
      <c r="C36" s="39"/>
      <c r="D36" s="57"/>
      <c r="E36" s="58"/>
    </row>
    <row r="37" spans="1:5" s="37" customFormat="1" ht="15.75" customHeight="1" x14ac:dyDescent="0.2">
      <c r="A37" s="36" t="s">
        <v>80</v>
      </c>
      <c r="B37" s="34" t="s">
        <v>81</v>
      </c>
      <c r="C37" s="34"/>
      <c r="D37" s="61"/>
      <c r="E37" s="56"/>
    </row>
    <row r="38" spans="1:5" s="37" customFormat="1" ht="15.75" customHeight="1" x14ac:dyDescent="0.2">
      <c r="A38" s="36" t="s">
        <v>82</v>
      </c>
      <c r="B38" s="34" t="s">
        <v>83</v>
      </c>
      <c r="C38" s="34"/>
      <c r="D38" s="61"/>
      <c r="E38" s="56"/>
    </row>
    <row r="39" spans="1:5" s="37" customFormat="1" ht="15.75" customHeight="1" x14ac:dyDescent="0.2">
      <c r="A39" s="38" t="s">
        <v>84</v>
      </c>
      <c r="B39" s="39" t="s">
        <v>85</v>
      </c>
      <c r="C39" s="39"/>
      <c r="D39" s="57"/>
      <c r="E39" s="58"/>
    </row>
    <row r="40" spans="1:5" s="37" customFormat="1" ht="15.75" customHeight="1" x14ac:dyDescent="0.2">
      <c r="A40" s="38" t="s">
        <v>86</v>
      </c>
      <c r="B40" s="39" t="s">
        <v>87</v>
      </c>
      <c r="C40" s="39"/>
      <c r="D40" s="57"/>
      <c r="E40" s="58"/>
    </row>
    <row r="41" spans="1:5" s="37" customFormat="1" ht="15.75" customHeight="1" x14ac:dyDescent="0.2">
      <c r="A41" s="38" t="s">
        <v>88</v>
      </c>
      <c r="B41" s="39" t="s">
        <v>89</v>
      </c>
      <c r="C41" s="39"/>
      <c r="D41" s="57"/>
      <c r="E41" s="58"/>
    </row>
    <row r="42" spans="1:5" s="37" customFormat="1" ht="15.75" customHeight="1" x14ac:dyDescent="0.2">
      <c r="A42" s="38" t="s">
        <v>90</v>
      </c>
      <c r="B42" s="39" t="s">
        <v>91</v>
      </c>
      <c r="C42" s="39"/>
      <c r="D42" s="57"/>
      <c r="E42" s="58"/>
    </row>
    <row r="43" spans="1:5" s="37" customFormat="1" ht="15.75" customHeight="1" x14ac:dyDescent="0.2">
      <c r="A43" s="38" t="s">
        <v>92</v>
      </c>
      <c r="B43" s="39" t="s">
        <v>93</v>
      </c>
      <c r="C43" s="39"/>
      <c r="D43" s="57"/>
      <c r="E43" s="58"/>
    </row>
    <row r="44" spans="1:5" s="37" customFormat="1" ht="15.75" customHeight="1" x14ac:dyDescent="0.2">
      <c r="A44" s="38" t="s">
        <v>94</v>
      </c>
      <c r="B44" s="39" t="s">
        <v>95</v>
      </c>
      <c r="C44" s="39"/>
      <c r="D44" s="57"/>
      <c r="E44" s="58"/>
    </row>
    <row r="45" spans="1:5" s="37" customFormat="1" ht="15.75" customHeight="1" x14ac:dyDescent="0.2">
      <c r="A45" s="38" t="s">
        <v>96</v>
      </c>
      <c r="B45" s="39" t="s">
        <v>97</v>
      </c>
      <c r="C45" s="39"/>
      <c r="D45" s="57"/>
      <c r="E45" s="58"/>
    </row>
    <row r="46" spans="1:5" s="37" customFormat="1" ht="15.75" customHeight="1" x14ac:dyDescent="0.2">
      <c r="A46" s="36" t="s">
        <v>98</v>
      </c>
      <c r="B46" s="34" t="s">
        <v>99</v>
      </c>
      <c r="C46" s="34"/>
      <c r="D46" s="61"/>
      <c r="E46" s="56"/>
    </row>
    <row r="47" spans="1:5" s="37" customFormat="1" ht="15.75" customHeight="1" x14ac:dyDescent="0.2">
      <c r="A47" s="38" t="s">
        <v>100</v>
      </c>
      <c r="B47" s="39" t="s">
        <v>101</v>
      </c>
      <c r="C47" s="39"/>
      <c r="D47" s="61"/>
      <c r="E47" s="58"/>
    </row>
    <row r="48" spans="1:5" s="37" customFormat="1" ht="15.75" customHeight="1" x14ac:dyDescent="0.2">
      <c r="A48" s="38" t="s">
        <v>102</v>
      </c>
      <c r="B48" s="39" t="s">
        <v>103</v>
      </c>
      <c r="C48" s="39"/>
      <c r="D48" s="57"/>
      <c r="E48" s="58"/>
    </row>
    <row r="49" spans="1:5" s="37" customFormat="1" ht="15.75" customHeight="1" x14ac:dyDescent="0.2">
      <c r="A49" s="38" t="s">
        <v>104</v>
      </c>
      <c r="B49" s="39" t="s">
        <v>105</v>
      </c>
      <c r="C49" s="39"/>
      <c r="D49" s="57"/>
      <c r="E49" s="58"/>
    </row>
    <row r="50" spans="1:5" s="37" customFormat="1" ht="15.75" customHeight="1" x14ac:dyDescent="0.2">
      <c r="A50" s="38" t="s">
        <v>106</v>
      </c>
      <c r="B50" s="39" t="s">
        <v>107</v>
      </c>
      <c r="C50" s="39"/>
      <c r="D50" s="61"/>
      <c r="E50" s="58"/>
    </row>
    <row r="51" spans="1:5" s="37" customFormat="1" ht="15.75" customHeight="1" x14ac:dyDescent="0.2">
      <c r="A51" s="38" t="s">
        <v>102</v>
      </c>
      <c r="B51" s="39" t="s">
        <v>108</v>
      </c>
      <c r="C51" s="39"/>
      <c r="D51" s="57"/>
      <c r="E51" s="58"/>
    </row>
    <row r="52" spans="1:5" s="37" customFormat="1" ht="15.75" customHeight="1" x14ac:dyDescent="0.2">
      <c r="A52" s="38" t="s">
        <v>104</v>
      </c>
      <c r="B52" s="39" t="s">
        <v>109</v>
      </c>
      <c r="C52" s="39"/>
      <c r="D52" s="57"/>
      <c r="E52" s="58"/>
    </row>
    <row r="53" spans="1:5" s="37" customFormat="1" ht="15.75" customHeight="1" x14ac:dyDescent="0.2">
      <c r="A53" s="38" t="s">
        <v>110</v>
      </c>
      <c r="B53" s="39" t="s">
        <v>111</v>
      </c>
      <c r="C53" s="39"/>
      <c r="D53" s="61"/>
      <c r="E53" s="58"/>
    </row>
    <row r="54" spans="1:5" s="37" customFormat="1" ht="15.75" customHeight="1" x14ac:dyDescent="0.2">
      <c r="A54" s="38" t="s">
        <v>102</v>
      </c>
      <c r="B54" s="39" t="s">
        <v>112</v>
      </c>
      <c r="C54" s="39"/>
      <c r="D54" s="57"/>
      <c r="E54" s="58"/>
    </row>
    <row r="55" spans="1:5" s="37" customFormat="1" ht="15.75" customHeight="1" x14ac:dyDescent="0.2">
      <c r="A55" s="38" t="s">
        <v>104</v>
      </c>
      <c r="B55" s="39" t="s">
        <v>113</v>
      </c>
      <c r="C55" s="39"/>
      <c r="D55" s="57"/>
      <c r="E55" s="58"/>
    </row>
    <row r="56" spans="1:5" s="37" customFormat="1" ht="15.75" customHeight="1" x14ac:dyDescent="0.2">
      <c r="A56" s="36" t="s">
        <v>114</v>
      </c>
      <c r="B56" s="34" t="s">
        <v>115</v>
      </c>
      <c r="C56" s="34"/>
      <c r="D56" s="61"/>
      <c r="E56" s="56"/>
    </row>
    <row r="57" spans="1:5" s="37" customFormat="1" ht="15.75" customHeight="1" x14ac:dyDescent="0.2">
      <c r="A57" s="38" t="s">
        <v>102</v>
      </c>
      <c r="B57" s="39" t="s">
        <v>116</v>
      </c>
      <c r="C57" s="39"/>
      <c r="D57" s="57"/>
      <c r="E57" s="58"/>
    </row>
    <row r="58" spans="1:5" s="37" customFormat="1" ht="15.75" customHeight="1" x14ac:dyDescent="0.2">
      <c r="A58" s="38" t="s">
        <v>104</v>
      </c>
      <c r="B58" s="39" t="s">
        <v>117</v>
      </c>
      <c r="C58" s="39"/>
      <c r="D58" s="57"/>
      <c r="E58" s="58"/>
    </row>
    <row r="59" spans="1:5" s="37" customFormat="1" ht="15.75" customHeight="1" x14ac:dyDescent="0.2">
      <c r="A59" s="36" t="s">
        <v>118</v>
      </c>
      <c r="B59" s="34" t="s">
        <v>119</v>
      </c>
      <c r="C59" s="34"/>
      <c r="D59" s="61"/>
      <c r="E59" s="56"/>
    </row>
    <row r="60" spans="1:5" s="37" customFormat="1" ht="15.75" customHeight="1" x14ac:dyDescent="0.2">
      <c r="A60" s="38" t="s">
        <v>120</v>
      </c>
      <c r="B60" s="39" t="s">
        <v>121</v>
      </c>
      <c r="C60" s="39"/>
      <c r="D60" s="57"/>
      <c r="E60" s="58"/>
    </row>
    <row r="61" spans="1:5" s="37" customFormat="1" ht="15.75" customHeight="1" x14ac:dyDescent="0.2">
      <c r="A61" s="38" t="s">
        <v>122</v>
      </c>
      <c r="B61" s="39" t="s">
        <v>123</v>
      </c>
      <c r="C61" s="39"/>
      <c r="D61" s="57"/>
      <c r="E61" s="58"/>
    </row>
    <row r="62" spans="1:5" s="37" customFormat="1" ht="15.75" customHeight="1" x14ac:dyDescent="0.2">
      <c r="A62" s="36" t="s">
        <v>124</v>
      </c>
      <c r="B62" s="34" t="s">
        <v>125</v>
      </c>
      <c r="C62" s="34"/>
      <c r="D62" s="61"/>
      <c r="E62" s="56"/>
    </row>
    <row r="63" spans="1:5" s="37" customFormat="1" ht="15.75" customHeight="1" x14ac:dyDescent="0.2">
      <c r="A63" s="38" t="s">
        <v>126</v>
      </c>
      <c r="B63" s="39" t="s">
        <v>127</v>
      </c>
      <c r="C63" s="39"/>
      <c r="D63" s="57"/>
      <c r="E63" s="58"/>
    </row>
    <row r="64" spans="1:5" s="37" customFormat="1" ht="15.75" customHeight="1" x14ac:dyDescent="0.2">
      <c r="A64" s="38" t="s">
        <v>128</v>
      </c>
      <c r="B64" s="39" t="s">
        <v>129</v>
      </c>
      <c r="C64" s="39"/>
      <c r="D64" s="57"/>
      <c r="E64" s="58"/>
    </row>
    <row r="65" spans="1:5" s="37" customFormat="1" ht="15.75" customHeight="1" x14ac:dyDescent="0.2">
      <c r="A65" s="38" t="s">
        <v>130</v>
      </c>
      <c r="B65" s="39" t="s">
        <v>131</v>
      </c>
      <c r="C65" s="39"/>
      <c r="D65" s="57"/>
      <c r="E65" s="58"/>
    </row>
    <row r="66" spans="1:5" s="37" customFormat="1" ht="15.75" customHeight="1" x14ac:dyDescent="0.2">
      <c r="A66" s="38" t="s">
        <v>132</v>
      </c>
      <c r="B66" s="39" t="s">
        <v>133</v>
      </c>
      <c r="C66" s="39"/>
      <c r="D66" s="57"/>
      <c r="E66" s="58"/>
    </row>
    <row r="67" spans="1:5" s="37" customFormat="1" ht="15.75" customHeight="1" x14ac:dyDescent="0.2">
      <c r="A67" s="38" t="s">
        <v>134</v>
      </c>
      <c r="B67" s="39" t="s">
        <v>135</v>
      </c>
      <c r="C67" s="39"/>
      <c r="D67" s="57"/>
      <c r="E67" s="58"/>
    </row>
    <row r="68" spans="1:5" s="37" customFormat="1" ht="15.75" customHeight="1" x14ac:dyDescent="0.2">
      <c r="A68" s="36" t="s">
        <v>136</v>
      </c>
      <c r="B68" s="34" t="s">
        <v>137</v>
      </c>
      <c r="C68" s="34"/>
      <c r="D68" s="61"/>
      <c r="E68" s="56"/>
    </row>
    <row r="69" spans="1:5" s="37" customFormat="1" ht="15.75" customHeight="1" x14ac:dyDescent="0.2">
      <c r="A69" s="38" t="s">
        <v>138</v>
      </c>
      <c r="B69" s="39" t="s">
        <v>139</v>
      </c>
      <c r="C69" s="39"/>
      <c r="D69" s="57"/>
      <c r="E69" s="58"/>
    </row>
    <row r="70" spans="1:5" s="37" customFormat="1" ht="15.75" customHeight="1" x14ac:dyDescent="0.2">
      <c r="A70" s="38" t="s">
        <v>140</v>
      </c>
      <c r="B70" s="39" t="s">
        <v>141</v>
      </c>
      <c r="C70" s="39"/>
      <c r="D70" s="57"/>
      <c r="E70" s="58"/>
    </row>
    <row r="71" spans="1:5" s="37" customFormat="1" ht="15.75" customHeight="1" x14ac:dyDescent="0.2">
      <c r="A71" s="38" t="s">
        <v>142</v>
      </c>
      <c r="B71" s="39" t="s">
        <v>143</v>
      </c>
      <c r="C71" s="39"/>
      <c r="D71" s="57"/>
      <c r="E71" s="58"/>
    </row>
    <row r="72" spans="1:5" s="37" customFormat="1" ht="15.75" customHeight="1" x14ac:dyDescent="0.2">
      <c r="A72" s="38" t="s">
        <v>144</v>
      </c>
      <c r="B72" s="39" t="s">
        <v>145</v>
      </c>
      <c r="C72" s="39"/>
      <c r="D72" s="57"/>
      <c r="E72" s="58"/>
    </row>
    <row r="73" spans="1:5" s="37" customFormat="1" ht="15.75" customHeight="1" x14ac:dyDescent="0.2">
      <c r="A73" s="36" t="s">
        <v>146</v>
      </c>
      <c r="B73" s="34" t="s">
        <v>147</v>
      </c>
      <c r="C73" s="34"/>
      <c r="D73" s="61"/>
      <c r="E73" s="56"/>
    </row>
    <row r="74" spans="1:5" s="37" customFormat="1" ht="15.75" customHeight="1" x14ac:dyDescent="0.2">
      <c r="A74" s="36" t="s">
        <v>148</v>
      </c>
      <c r="B74" s="34"/>
      <c r="C74" s="34"/>
      <c r="D74" s="57"/>
      <c r="E74" s="56"/>
    </row>
    <row r="75" spans="1:5" s="37" customFormat="1" ht="15.75" customHeight="1" x14ac:dyDescent="0.2">
      <c r="A75" s="36" t="s">
        <v>149</v>
      </c>
      <c r="B75" s="34" t="s">
        <v>150</v>
      </c>
      <c r="C75" s="34"/>
      <c r="D75" s="57"/>
      <c r="E75" s="56"/>
    </row>
    <row r="76" spans="1:5" s="37" customFormat="1" ht="15.75" customHeight="1" x14ac:dyDescent="0.2">
      <c r="A76" s="36" t="s">
        <v>151</v>
      </c>
      <c r="B76" s="34" t="s">
        <v>152</v>
      </c>
      <c r="C76" s="34"/>
      <c r="D76" s="57"/>
      <c r="E76" s="56"/>
    </row>
    <row r="77" spans="1:5" s="37" customFormat="1" ht="15.75" customHeight="1" x14ac:dyDescent="0.2">
      <c r="A77" s="38" t="s">
        <v>153</v>
      </c>
      <c r="B77" s="39" t="s">
        <v>154</v>
      </c>
      <c r="C77" s="39"/>
      <c r="D77" s="57"/>
      <c r="E77" s="58"/>
    </row>
    <row r="78" spans="1:5" s="37" customFormat="1" ht="15.75" customHeight="1" x14ac:dyDescent="0.2">
      <c r="A78" s="38" t="s">
        <v>155</v>
      </c>
      <c r="B78" s="39" t="s">
        <v>156</v>
      </c>
      <c r="C78" s="39"/>
      <c r="D78" s="57"/>
      <c r="E78" s="58"/>
    </row>
    <row r="79" spans="1:5" s="37" customFormat="1" ht="15.75" customHeight="1" x14ac:dyDescent="0.2">
      <c r="A79" s="38" t="s">
        <v>157</v>
      </c>
      <c r="B79" s="39" t="s">
        <v>158</v>
      </c>
      <c r="C79" s="39"/>
      <c r="D79" s="57"/>
      <c r="E79" s="58"/>
    </row>
    <row r="80" spans="1:5" s="37" customFormat="1" ht="15.75" customHeight="1" x14ac:dyDescent="0.2">
      <c r="A80" s="38" t="s">
        <v>159</v>
      </c>
      <c r="B80" s="39" t="s">
        <v>160</v>
      </c>
      <c r="C80" s="39"/>
      <c r="D80" s="57"/>
      <c r="E80" s="58"/>
    </row>
    <row r="81" spans="1:5" s="37" customFormat="1" ht="15.75" customHeight="1" x14ac:dyDescent="0.2">
      <c r="A81" s="38" t="s">
        <v>161</v>
      </c>
      <c r="B81" s="39" t="s">
        <v>162</v>
      </c>
      <c r="C81" s="39"/>
      <c r="D81" s="57"/>
      <c r="E81" s="58"/>
    </row>
    <row r="82" spans="1:5" s="37" customFormat="1" ht="15.75" customHeight="1" x14ac:dyDescent="0.2">
      <c r="A82" s="38" t="s">
        <v>163</v>
      </c>
      <c r="B82" s="39" t="s">
        <v>164</v>
      </c>
      <c r="C82" s="39"/>
      <c r="D82" s="57"/>
      <c r="E82" s="58"/>
    </row>
    <row r="83" spans="1:5" s="37" customFormat="1" ht="15.75" customHeight="1" x14ac:dyDescent="0.2">
      <c r="A83" s="38" t="s">
        <v>165</v>
      </c>
      <c r="B83" s="39" t="s">
        <v>166</v>
      </c>
      <c r="C83" s="39"/>
      <c r="D83" s="57"/>
      <c r="E83" s="58"/>
    </row>
    <row r="84" spans="1:5" s="37" customFormat="1" ht="15.75" customHeight="1" x14ac:dyDescent="0.2">
      <c r="A84" s="38" t="s">
        <v>167</v>
      </c>
      <c r="B84" s="39" t="s">
        <v>168</v>
      </c>
      <c r="C84" s="39"/>
      <c r="D84" s="57"/>
      <c r="E84" s="58"/>
    </row>
    <row r="85" spans="1:5" s="37" customFormat="1" ht="15.75" customHeight="1" x14ac:dyDescent="0.2">
      <c r="A85" s="38" t="s">
        <v>169</v>
      </c>
      <c r="B85" s="39" t="s">
        <v>170</v>
      </c>
      <c r="C85" s="39"/>
      <c r="D85" s="57"/>
      <c r="E85" s="58"/>
    </row>
    <row r="86" spans="1:5" s="37" customFormat="1" ht="15.75" customHeight="1" x14ac:dyDescent="0.2">
      <c r="A86" s="38" t="s">
        <v>171</v>
      </c>
      <c r="B86" s="39" t="s">
        <v>172</v>
      </c>
      <c r="C86" s="39"/>
      <c r="D86" s="57"/>
      <c r="E86" s="58"/>
    </row>
    <row r="87" spans="1:5" s="37" customFormat="1" ht="15.75" customHeight="1" x14ac:dyDescent="0.2">
      <c r="A87" s="38" t="s">
        <v>173</v>
      </c>
      <c r="B87" s="39" t="s">
        <v>174</v>
      </c>
      <c r="C87" s="39"/>
      <c r="D87" s="57"/>
      <c r="E87" s="58"/>
    </row>
    <row r="88" spans="1:5" s="37" customFormat="1" ht="15.75" customHeight="1" x14ac:dyDescent="0.2">
      <c r="A88" s="38" t="s">
        <v>175</v>
      </c>
      <c r="B88" s="39" t="s">
        <v>176</v>
      </c>
      <c r="C88" s="39"/>
      <c r="D88" s="57"/>
      <c r="E88" s="58"/>
    </row>
    <row r="89" spans="1:5" s="37" customFormat="1" ht="15.75" customHeight="1" x14ac:dyDescent="0.2">
      <c r="A89" s="38" t="s">
        <v>177</v>
      </c>
      <c r="B89" s="39" t="s">
        <v>178</v>
      </c>
      <c r="C89" s="39"/>
      <c r="D89" s="57"/>
      <c r="E89" s="58"/>
    </row>
    <row r="90" spans="1:5" s="37" customFormat="1" ht="15.75" customHeight="1" x14ac:dyDescent="0.2">
      <c r="A90" s="38" t="s">
        <v>179</v>
      </c>
      <c r="B90" s="39" t="s">
        <v>180</v>
      </c>
      <c r="C90" s="39"/>
      <c r="D90" s="57"/>
      <c r="E90" s="58"/>
    </row>
    <row r="91" spans="1:5" s="37" customFormat="1" ht="15.75" customHeight="1" x14ac:dyDescent="0.2">
      <c r="A91" s="36" t="s">
        <v>181</v>
      </c>
      <c r="B91" s="34" t="s">
        <v>182</v>
      </c>
      <c r="C91" s="34"/>
      <c r="D91" s="57"/>
      <c r="E91" s="56"/>
    </row>
    <row r="92" spans="1:5" s="37" customFormat="1" ht="15.75" customHeight="1" x14ac:dyDescent="0.2">
      <c r="A92" s="38" t="s">
        <v>183</v>
      </c>
      <c r="B92" s="39" t="s">
        <v>184</v>
      </c>
      <c r="C92" s="39"/>
      <c r="D92" s="57"/>
      <c r="E92" s="58"/>
    </row>
    <row r="93" spans="1:5" s="37" customFormat="1" ht="15.75" customHeight="1" x14ac:dyDescent="0.2">
      <c r="A93" s="38" t="s">
        <v>185</v>
      </c>
      <c r="B93" s="39" t="s">
        <v>186</v>
      </c>
      <c r="C93" s="39"/>
      <c r="D93" s="57"/>
      <c r="E93" s="58"/>
    </row>
    <row r="94" spans="1:5" s="37" customFormat="1" ht="15.75" customHeight="1" x14ac:dyDescent="0.2">
      <c r="A94" s="38" t="s">
        <v>187</v>
      </c>
      <c r="B94" s="39" t="s">
        <v>188</v>
      </c>
      <c r="C94" s="39"/>
      <c r="D94" s="57"/>
      <c r="E94" s="58"/>
    </row>
    <row r="95" spans="1:5" s="37" customFormat="1" ht="15.75" customHeight="1" x14ac:dyDescent="0.2">
      <c r="A95" s="38" t="s">
        <v>189</v>
      </c>
      <c r="B95" s="39" t="s">
        <v>190</v>
      </c>
      <c r="C95" s="39"/>
      <c r="D95" s="57"/>
      <c r="E95" s="58"/>
    </row>
    <row r="96" spans="1:5" s="37" customFormat="1" ht="15.75" customHeight="1" x14ac:dyDescent="0.2">
      <c r="A96" s="38" t="s">
        <v>191</v>
      </c>
      <c r="B96" s="39" t="s">
        <v>192</v>
      </c>
      <c r="C96" s="39"/>
      <c r="D96" s="57"/>
      <c r="E96" s="58"/>
    </row>
    <row r="97" spans="1:5" s="37" customFormat="1" ht="15.75" customHeight="1" x14ac:dyDescent="0.2">
      <c r="A97" s="38" t="s">
        <v>193</v>
      </c>
      <c r="B97" s="39" t="s">
        <v>194</v>
      </c>
      <c r="C97" s="39"/>
      <c r="D97" s="57"/>
      <c r="E97" s="58"/>
    </row>
    <row r="98" spans="1:5" s="37" customFormat="1" ht="15.75" customHeight="1" x14ac:dyDescent="0.2">
      <c r="A98" s="38" t="s">
        <v>195</v>
      </c>
      <c r="B98" s="39" t="s">
        <v>196</v>
      </c>
      <c r="C98" s="39"/>
      <c r="D98" s="57"/>
      <c r="E98" s="58"/>
    </row>
    <row r="99" spans="1:5" s="37" customFormat="1" ht="15.75" customHeight="1" x14ac:dyDescent="0.2">
      <c r="A99" s="38" t="s">
        <v>197</v>
      </c>
      <c r="B99" s="39" t="s">
        <v>198</v>
      </c>
      <c r="C99" s="39"/>
      <c r="D99" s="57"/>
      <c r="E99" s="58"/>
    </row>
    <row r="100" spans="1:5" s="37" customFormat="1" ht="15.75" customHeight="1" x14ac:dyDescent="0.2">
      <c r="A100" s="38" t="s">
        <v>199</v>
      </c>
      <c r="B100" s="39" t="s">
        <v>200</v>
      </c>
      <c r="C100" s="39"/>
      <c r="D100" s="57"/>
      <c r="E100" s="58"/>
    </row>
    <row r="101" spans="1:5" s="37" customFormat="1" ht="15.75" customHeight="1" x14ac:dyDescent="0.2">
      <c r="A101" s="38" t="s">
        <v>201</v>
      </c>
      <c r="B101" s="39" t="s">
        <v>202</v>
      </c>
      <c r="C101" s="39"/>
      <c r="D101" s="57"/>
      <c r="E101" s="58"/>
    </row>
    <row r="102" spans="1:5" s="37" customFormat="1" ht="15.75" customHeight="1" x14ac:dyDescent="0.2">
      <c r="A102" s="38" t="s">
        <v>203</v>
      </c>
      <c r="B102" s="39" t="s">
        <v>204</v>
      </c>
      <c r="C102" s="39"/>
      <c r="D102" s="57"/>
      <c r="E102" s="58"/>
    </row>
    <row r="103" spans="1:5" s="37" customFormat="1" ht="15.75" customHeight="1" x14ac:dyDescent="0.2">
      <c r="A103" s="38" t="s">
        <v>205</v>
      </c>
      <c r="B103" s="39" t="s">
        <v>206</v>
      </c>
      <c r="C103" s="39"/>
      <c r="D103" s="57"/>
      <c r="E103" s="58"/>
    </row>
    <row r="104" spans="1:5" s="37" customFormat="1" ht="15.75" customHeight="1" x14ac:dyDescent="0.2">
      <c r="A104" s="38" t="s">
        <v>207</v>
      </c>
      <c r="B104" s="39" t="s">
        <v>208</v>
      </c>
      <c r="C104" s="39"/>
      <c r="D104" s="57"/>
      <c r="E104" s="58"/>
    </row>
    <row r="105" spans="1:5" s="37" customFormat="1" ht="15.75" customHeight="1" x14ac:dyDescent="0.2">
      <c r="A105" s="36" t="s">
        <v>209</v>
      </c>
      <c r="B105" s="34" t="s">
        <v>210</v>
      </c>
      <c r="C105" s="34"/>
      <c r="D105" s="61"/>
      <c r="E105" s="56"/>
    </row>
    <row r="106" spans="1:5" s="37" customFormat="1" ht="15.75" customHeight="1" x14ac:dyDescent="0.2">
      <c r="A106" s="36" t="s">
        <v>211</v>
      </c>
      <c r="B106" s="34" t="s">
        <v>212</v>
      </c>
      <c r="C106" s="34"/>
      <c r="D106" s="57"/>
      <c r="E106" s="56"/>
    </row>
    <row r="107" spans="1:5" s="37" customFormat="1" ht="15.75" customHeight="1" x14ac:dyDescent="0.2">
      <c r="A107" s="38" t="s">
        <v>213</v>
      </c>
      <c r="B107" s="39" t="s">
        <v>214</v>
      </c>
      <c r="C107" s="39"/>
      <c r="D107" s="57"/>
      <c r="E107" s="58"/>
    </row>
    <row r="108" spans="1:5" s="37" customFormat="1" ht="15.75" customHeight="1" x14ac:dyDescent="0.2">
      <c r="A108" s="38" t="s">
        <v>215</v>
      </c>
      <c r="B108" s="39" t="s">
        <v>216</v>
      </c>
      <c r="C108" s="39"/>
      <c r="D108" s="57"/>
      <c r="E108" s="58"/>
    </row>
    <row r="109" spans="1:5" s="37" customFormat="1" ht="15.75" customHeight="1" x14ac:dyDescent="0.2">
      <c r="A109" s="38" t="s">
        <v>217</v>
      </c>
      <c r="B109" s="39" t="s">
        <v>218</v>
      </c>
      <c r="C109" s="39"/>
      <c r="D109" s="57"/>
      <c r="E109" s="58"/>
    </row>
    <row r="110" spans="1:5" s="37" customFormat="1" ht="15.75" customHeight="1" x14ac:dyDescent="0.2">
      <c r="A110" s="38" t="s">
        <v>219</v>
      </c>
      <c r="B110" s="39" t="s">
        <v>220</v>
      </c>
      <c r="C110" s="39"/>
      <c r="D110" s="57"/>
      <c r="E110" s="58"/>
    </row>
    <row r="111" spans="1:5" s="37" customFormat="1" ht="15.75" customHeight="1" x14ac:dyDescent="0.2">
      <c r="A111" s="38" t="s">
        <v>221</v>
      </c>
      <c r="B111" s="39" t="s">
        <v>222</v>
      </c>
      <c r="C111" s="39"/>
      <c r="D111" s="57"/>
      <c r="E111" s="58"/>
    </row>
    <row r="112" spans="1:5" s="37" customFormat="1" ht="15.75" customHeight="1" x14ac:dyDescent="0.2">
      <c r="A112" s="38" t="s">
        <v>223</v>
      </c>
      <c r="B112" s="39" t="s">
        <v>224</v>
      </c>
      <c r="C112" s="39"/>
      <c r="D112" s="57"/>
      <c r="E112" s="58"/>
    </row>
    <row r="113" spans="1:5" s="37" customFormat="1" ht="15.75" customHeight="1" x14ac:dyDescent="0.2">
      <c r="A113" s="38" t="s">
        <v>225</v>
      </c>
      <c r="B113" s="39" t="s">
        <v>226</v>
      </c>
      <c r="C113" s="39"/>
      <c r="D113" s="57"/>
      <c r="E113" s="58"/>
    </row>
    <row r="114" spans="1:5" s="37" customFormat="1" ht="15.75" customHeight="1" x14ac:dyDescent="0.2">
      <c r="A114" s="38" t="s">
        <v>227</v>
      </c>
      <c r="B114" s="39" t="s">
        <v>228</v>
      </c>
      <c r="C114" s="39"/>
      <c r="D114" s="57"/>
      <c r="E114" s="58"/>
    </row>
    <row r="115" spans="1:5" s="37" customFormat="1" ht="15.75" customHeight="1" x14ac:dyDescent="0.2">
      <c r="A115" s="38" t="s">
        <v>229</v>
      </c>
      <c r="B115" s="39" t="s">
        <v>230</v>
      </c>
      <c r="C115" s="39"/>
      <c r="D115" s="57"/>
      <c r="E115" s="58"/>
    </row>
    <row r="116" spans="1:5" s="37" customFormat="1" ht="15.75" customHeight="1" x14ac:dyDescent="0.2">
      <c r="A116" s="38" t="s">
        <v>231</v>
      </c>
      <c r="B116" s="39" t="s">
        <v>232</v>
      </c>
      <c r="C116" s="39"/>
      <c r="D116" s="57"/>
      <c r="E116" s="58"/>
    </row>
    <row r="117" spans="1:5" s="37" customFormat="1" ht="15.75" customHeight="1" x14ac:dyDescent="0.2">
      <c r="A117" s="38" t="s">
        <v>233</v>
      </c>
      <c r="B117" s="39" t="s">
        <v>234</v>
      </c>
      <c r="C117" s="39"/>
      <c r="D117" s="57"/>
      <c r="E117" s="58"/>
    </row>
    <row r="118" spans="1:5" s="37" customFormat="1" ht="15.75" customHeight="1" x14ac:dyDescent="0.2">
      <c r="A118" s="38" t="s">
        <v>235</v>
      </c>
      <c r="B118" s="39" t="s">
        <v>236</v>
      </c>
      <c r="C118" s="39"/>
      <c r="D118" s="57"/>
      <c r="E118" s="58"/>
    </row>
    <row r="119" spans="1:5" s="37" customFormat="1" ht="15.75" customHeight="1" x14ac:dyDescent="0.2">
      <c r="A119" s="38" t="s">
        <v>237</v>
      </c>
      <c r="B119" s="39" t="s">
        <v>238</v>
      </c>
      <c r="C119" s="39"/>
      <c r="D119" s="61"/>
      <c r="E119" s="58"/>
    </row>
    <row r="120" spans="1:5" s="37" customFormat="1" ht="15.75" customHeight="1" x14ac:dyDescent="0.2">
      <c r="A120" s="38" t="s">
        <v>239</v>
      </c>
      <c r="B120" s="39" t="s">
        <v>240</v>
      </c>
      <c r="C120" s="39"/>
      <c r="D120" s="57"/>
      <c r="E120" s="58"/>
    </row>
    <row r="121" spans="1:5" s="37" customFormat="1" ht="15.75" customHeight="1" x14ac:dyDescent="0.2">
      <c r="A121" s="38" t="s">
        <v>241</v>
      </c>
      <c r="B121" s="39" t="s">
        <v>242</v>
      </c>
      <c r="C121" s="39"/>
      <c r="D121" s="57"/>
      <c r="E121" s="58"/>
    </row>
    <row r="122" spans="1:5" s="37" customFormat="1" ht="15.75" customHeight="1" x14ac:dyDescent="0.2">
      <c r="A122" s="38" t="s">
        <v>243</v>
      </c>
      <c r="B122" s="39" t="s">
        <v>244</v>
      </c>
      <c r="C122" s="39"/>
      <c r="D122" s="57"/>
      <c r="E122" s="58"/>
    </row>
    <row r="123" spans="1:5" s="37" customFormat="1" ht="15.75" customHeight="1" x14ac:dyDescent="0.2">
      <c r="A123" s="36" t="s">
        <v>245</v>
      </c>
      <c r="B123" s="34" t="s">
        <v>246</v>
      </c>
      <c r="C123" s="34"/>
      <c r="D123" s="61"/>
      <c r="E123" s="56"/>
    </row>
    <row r="124" spans="1:5" s="37" customFormat="1" ht="15.75" customHeight="1" x14ac:dyDescent="0.2">
      <c r="A124" s="38" t="s">
        <v>247</v>
      </c>
      <c r="B124" s="39" t="s">
        <v>248</v>
      </c>
      <c r="C124" s="39"/>
      <c r="D124" s="57"/>
      <c r="E124" s="58"/>
    </row>
    <row r="125" spans="1:5" s="37" customFormat="1" ht="15.75" customHeight="1" x14ac:dyDescent="0.2">
      <c r="A125" s="38" t="s">
        <v>249</v>
      </c>
      <c r="B125" s="39" t="s">
        <v>250</v>
      </c>
      <c r="C125" s="39"/>
      <c r="D125" s="57"/>
      <c r="E125" s="58"/>
    </row>
    <row r="126" spans="1:5" s="37" customFormat="1" ht="15.75" customHeight="1" x14ac:dyDescent="0.2">
      <c r="A126" s="36" t="s">
        <v>251</v>
      </c>
      <c r="B126" s="34" t="s">
        <v>252</v>
      </c>
      <c r="C126" s="34"/>
      <c r="D126" s="61"/>
      <c r="E126" s="56"/>
    </row>
    <row r="128" spans="1:5" x14ac:dyDescent="0.2">
      <c r="E128" s="30"/>
    </row>
    <row r="129" spans="2:5" x14ac:dyDescent="0.2">
      <c r="B129" s="32" t="s">
        <v>253</v>
      </c>
      <c r="D129" s="28"/>
      <c r="E129" s="30"/>
    </row>
    <row r="130" spans="2:5" x14ac:dyDescent="0.2">
      <c r="B130" s="32" t="s">
        <v>254</v>
      </c>
      <c r="D130" s="28"/>
      <c r="E130" s="30"/>
    </row>
    <row r="134" spans="2:5" x14ac:dyDescent="0.2">
      <c r="E134" s="30"/>
    </row>
  </sheetData>
  <mergeCells count="4">
    <mergeCell ref="D1:E1"/>
    <mergeCell ref="D2:E3"/>
    <mergeCell ref="A6:E6"/>
    <mergeCell ref="A7:E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1"/>
  <sheetViews>
    <sheetView topLeftCell="A16" workbookViewId="0">
      <selection activeCell="D19" sqref="D19"/>
    </sheetView>
  </sheetViews>
  <sheetFormatPr defaultColWidth="9.125" defaultRowHeight="12.75" x14ac:dyDescent="0.2"/>
  <cols>
    <col min="1" max="1" width="62.125" style="21" customWidth="1"/>
    <col min="2" max="2" width="9.75" style="32" customWidth="1"/>
    <col min="3" max="3" width="13.25" style="32" customWidth="1"/>
    <col min="4" max="4" width="30.25" style="24" customWidth="1"/>
    <col min="5" max="5" width="22.75" style="21" customWidth="1"/>
    <col min="6" max="16384" width="9.125" style="21"/>
  </cols>
  <sheetData>
    <row r="2" spans="1:5" ht="14.65" customHeight="1" x14ac:dyDescent="0.2">
      <c r="A2" s="19" t="s">
        <v>10</v>
      </c>
      <c r="B2" s="20"/>
      <c r="C2" s="20"/>
      <c r="D2" s="125" t="s">
        <v>255</v>
      </c>
      <c r="E2" s="125"/>
    </row>
    <row r="3" spans="1:5" ht="13.9" customHeight="1" x14ac:dyDescent="0.2">
      <c r="A3" s="19" t="s">
        <v>12</v>
      </c>
      <c r="B3" s="22"/>
      <c r="C3" s="22"/>
      <c r="D3" s="126" t="s">
        <v>13</v>
      </c>
      <c r="E3" s="126"/>
    </row>
    <row r="4" spans="1:5" ht="14.65" customHeight="1" x14ac:dyDescent="0.2">
      <c r="A4" s="23" t="s">
        <v>256</v>
      </c>
      <c r="B4" s="22"/>
      <c r="C4" s="22"/>
      <c r="D4" s="126"/>
      <c r="E4" s="126"/>
    </row>
    <row r="5" spans="1:5" ht="14.65" customHeight="1" x14ac:dyDescent="0.2">
      <c r="A5" s="23"/>
      <c r="B5" s="22"/>
      <c r="C5" s="22"/>
      <c r="D5" s="40"/>
      <c r="E5" s="40"/>
    </row>
    <row r="6" spans="1:5" s="32" customFormat="1" ht="22.9" customHeight="1" x14ac:dyDescent="0.2">
      <c r="A6" s="27"/>
      <c r="B6" s="26" t="s">
        <v>257</v>
      </c>
      <c r="C6" s="27"/>
      <c r="D6" s="27"/>
      <c r="E6" s="27"/>
    </row>
    <row r="7" spans="1:5" s="32" customFormat="1" ht="20.65" customHeight="1" x14ac:dyDescent="0.2">
      <c r="A7" s="128" t="s">
        <v>16</v>
      </c>
      <c r="B7" s="128"/>
      <c r="C7" s="128"/>
      <c r="D7" s="128"/>
      <c r="E7" s="128"/>
    </row>
    <row r="8" spans="1:5" s="42" customFormat="1" ht="20.65" customHeight="1" x14ac:dyDescent="0.2">
      <c r="A8" s="41"/>
      <c r="B8" s="3"/>
      <c r="C8" s="41"/>
      <c r="D8" s="41"/>
      <c r="E8" s="41"/>
    </row>
    <row r="9" spans="1:5" ht="17.649999999999999" customHeight="1" x14ac:dyDescent="0.2">
      <c r="D9" s="43"/>
      <c r="E9" s="43" t="s">
        <v>17</v>
      </c>
    </row>
    <row r="10" spans="1:5" s="35" customFormat="1" ht="30" customHeight="1" x14ac:dyDescent="0.2">
      <c r="A10" s="34" t="s">
        <v>18</v>
      </c>
      <c r="B10" s="34" t="s">
        <v>19</v>
      </c>
      <c r="C10" s="34" t="s">
        <v>20</v>
      </c>
      <c r="D10" s="34" t="s">
        <v>258</v>
      </c>
      <c r="E10" s="34" t="s">
        <v>259</v>
      </c>
    </row>
    <row r="11" spans="1:5" s="35" customFormat="1" ht="17.649999999999999" customHeight="1" x14ac:dyDescent="0.2">
      <c r="A11" s="34" t="s">
        <v>23</v>
      </c>
      <c r="B11" s="34" t="s">
        <v>24</v>
      </c>
      <c r="C11" s="34" t="s">
        <v>25</v>
      </c>
      <c r="D11" s="34" t="s">
        <v>26</v>
      </c>
      <c r="E11" s="34" t="s">
        <v>27</v>
      </c>
    </row>
    <row r="12" spans="1:5" s="96" customFormat="1" ht="24.95" customHeight="1" x14ac:dyDescent="0.2">
      <c r="A12" s="93" t="s">
        <v>260</v>
      </c>
      <c r="B12" s="94" t="s">
        <v>261</v>
      </c>
      <c r="C12" s="94"/>
      <c r="D12" s="95"/>
      <c r="E12" s="95"/>
    </row>
    <row r="13" spans="1:5" s="96" customFormat="1" ht="24.95" customHeight="1" x14ac:dyDescent="0.2">
      <c r="A13" s="93" t="s">
        <v>262</v>
      </c>
      <c r="B13" s="94" t="s">
        <v>263</v>
      </c>
      <c r="C13" s="94"/>
      <c r="D13" s="95"/>
      <c r="E13" s="95"/>
    </row>
    <row r="14" spans="1:5" s="96" customFormat="1" ht="24.95" customHeight="1" x14ac:dyDescent="0.2">
      <c r="A14" s="93" t="s">
        <v>264</v>
      </c>
      <c r="B14" s="94" t="s">
        <v>265</v>
      </c>
      <c r="C14" s="94"/>
      <c r="D14" s="97"/>
      <c r="E14" s="95"/>
    </row>
    <row r="15" spans="1:5" s="96" customFormat="1" ht="24.95" customHeight="1" x14ac:dyDescent="0.2">
      <c r="A15" s="93" t="s">
        <v>266</v>
      </c>
      <c r="B15" s="94" t="s">
        <v>267</v>
      </c>
      <c r="C15" s="94"/>
      <c r="D15" s="95"/>
      <c r="E15" s="95"/>
    </row>
    <row r="16" spans="1:5" s="96" customFormat="1" ht="24.95" customHeight="1" x14ac:dyDescent="0.2">
      <c r="A16" s="93" t="s">
        <v>268</v>
      </c>
      <c r="B16" s="94" t="s">
        <v>269</v>
      </c>
      <c r="C16" s="94"/>
      <c r="D16" s="98"/>
      <c r="E16" s="95"/>
    </row>
    <row r="17" spans="1:5" s="96" customFormat="1" ht="24.95" customHeight="1" x14ac:dyDescent="0.2">
      <c r="A17" s="93" t="s">
        <v>270</v>
      </c>
      <c r="B17" s="94" t="s">
        <v>271</v>
      </c>
      <c r="C17" s="94"/>
      <c r="D17" s="95"/>
      <c r="E17" s="95"/>
    </row>
    <row r="18" spans="1:5" s="96" customFormat="1" ht="24.95" customHeight="1" x14ac:dyDescent="0.2">
      <c r="A18" s="93" t="s">
        <v>272</v>
      </c>
      <c r="B18" s="94" t="s">
        <v>273</v>
      </c>
      <c r="C18" s="94"/>
      <c r="D18" s="95"/>
      <c r="E18" s="95"/>
    </row>
    <row r="19" spans="1:5" s="96" customFormat="1" ht="24.95" customHeight="1" x14ac:dyDescent="0.2">
      <c r="A19" s="93" t="s">
        <v>274</v>
      </c>
      <c r="B19" s="94" t="s">
        <v>275</v>
      </c>
      <c r="C19" s="94"/>
      <c r="D19" s="95"/>
      <c r="E19" s="95"/>
    </row>
    <row r="20" spans="1:5" s="96" customFormat="1" ht="24.95" customHeight="1" x14ac:dyDescent="0.2">
      <c r="A20" s="93" t="s">
        <v>276</v>
      </c>
      <c r="B20" s="94" t="s">
        <v>277</v>
      </c>
      <c r="C20" s="94"/>
      <c r="D20" s="95"/>
      <c r="E20" s="95"/>
    </row>
    <row r="21" spans="1:5" s="96" customFormat="1" ht="24.95" customHeight="1" x14ac:dyDescent="0.2">
      <c r="A21" s="93" t="s">
        <v>278</v>
      </c>
      <c r="B21" s="94" t="s">
        <v>279</v>
      </c>
      <c r="C21" s="94"/>
      <c r="D21" s="95"/>
      <c r="E21" s="95"/>
    </row>
    <row r="22" spans="1:5" s="96" customFormat="1" ht="24.95" customHeight="1" x14ac:dyDescent="0.2">
      <c r="A22" s="93" t="s">
        <v>280</v>
      </c>
      <c r="B22" s="94" t="s">
        <v>281</v>
      </c>
      <c r="C22" s="94"/>
      <c r="D22" s="98"/>
      <c r="E22" s="98"/>
    </row>
    <row r="23" spans="1:5" s="96" customFormat="1" ht="24.95" customHeight="1" x14ac:dyDescent="0.2">
      <c r="A23" s="93" t="s">
        <v>282</v>
      </c>
      <c r="B23" s="94" t="s">
        <v>283</v>
      </c>
      <c r="C23" s="94"/>
      <c r="D23" s="95"/>
      <c r="E23" s="95"/>
    </row>
    <row r="24" spans="1:5" s="96" customFormat="1" ht="24.95" customHeight="1" x14ac:dyDescent="0.2">
      <c r="A24" s="93" t="s">
        <v>284</v>
      </c>
      <c r="B24" s="94" t="s">
        <v>285</v>
      </c>
      <c r="C24" s="94"/>
      <c r="D24" s="95"/>
      <c r="E24" s="95"/>
    </row>
    <row r="25" spans="1:5" s="96" customFormat="1" ht="24.95" customHeight="1" x14ac:dyDescent="0.2">
      <c r="A25" s="93" t="s">
        <v>286</v>
      </c>
      <c r="B25" s="94" t="s">
        <v>287</v>
      </c>
      <c r="C25" s="94"/>
      <c r="D25" s="98"/>
      <c r="E25" s="95"/>
    </row>
    <row r="26" spans="1:5" s="96" customFormat="1" ht="24.95" customHeight="1" x14ac:dyDescent="0.2">
      <c r="A26" s="93" t="s">
        <v>288</v>
      </c>
      <c r="B26" s="94" t="s">
        <v>289</v>
      </c>
      <c r="C26" s="94"/>
      <c r="D26" s="98"/>
      <c r="E26" s="95"/>
    </row>
    <row r="27" spans="1:5" s="96" customFormat="1" ht="24.95" customHeight="1" x14ac:dyDescent="0.2">
      <c r="A27" s="93" t="s">
        <v>290</v>
      </c>
      <c r="B27" s="94" t="s">
        <v>291</v>
      </c>
      <c r="C27" s="94"/>
      <c r="D27" s="95"/>
      <c r="E27" s="95"/>
    </row>
    <row r="28" spans="1:5" s="96" customFormat="1" ht="24.95" customHeight="1" x14ac:dyDescent="0.2">
      <c r="A28" s="93" t="s">
        <v>292</v>
      </c>
      <c r="B28" s="94" t="s">
        <v>293</v>
      </c>
      <c r="C28" s="94"/>
      <c r="D28" s="95"/>
      <c r="E28" s="95"/>
    </row>
    <row r="29" spans="1:5" s="96" customFormat="1" ht="24.95" customHeight="1" x14ac:dyDescent="0.2">
      <c r="A29" s="93" t="s">
        <v>294</v>
      </c>
      <c r="B29" s="94" t="s">
        <v>295</v>
      </c>
      <c r="C29" s="94"/>
      <c r="D29" s="98"/>
      <c r="E29" s="95"/>
    </row>
    <row r="30" spans="1:5" s="96" customFormat="1" ht="24.95" customHeight="1" x14ac:dyDescent="0.2">
      <c r="A30" s="93" t="s">
        <v>296</v>
      </c>
      <c r="B30" s="94" t="s">
        <v>297</v>
      </c>
      <c r="C30" s="94"/>
      <c r="D30" s="95"/>
      <c r="E30" s="95"/>
    </row>
    <row r="31" spans="1:5" s="96" customFormat="1" ht="24.95" customHeight="1" x14ac:dyDescent="0.2">
      <c r="A31" s="93" t="s">
        <v>298</v>
      </c>
      <c r="B31" s="94" t="s">
        <v>299</v>
      </c>
      <c r="C31" s="94"/>
      <c r="D31" s="95"/>
      <c r="E31" s="95"/>
    </row>
    <row r="32" spans="1:5" x14ac:dyDescent="0.2">
      <c r="A32" s="44"/>
      <c r="B32" s="45"/>
      <c r="C32" s="45"/>
      <c r="D32" s="44"/>
      <c r="E32" s="44"/>
    </row>
    <row r="33" spans="1:5" ht="17.649999999999999" customHeight="1" x14ac:dyDescent="0.2">
      <c r="A33" s="46" t="s">
        <v>300</v>
      </c>
      <c r="B33" s="47"/>
      <c r="C33" s="47"/>
      <c r="D33" s="43"/>
      <c r="E33" s="43"/>
    </row>
    <row r="34" spans="1:5" ht="8.1" customHeight="1" x14ac:dyDescent="0.2"/>
    <row r="35" spans="1:5" ht="17.649999999999999" customHeight="1" x14ac:dyDescent="0.2">
      <c r="D35" s="48"/>
      <c r="E35" s="48"/>
    </row>
    <row r="36" spans="1:5" ht="17.649999999999999" customHeight="1" x14ac:dyDescent="0.2">
      <c r="A36" s="19" t="s">
        <v>301</v>
      </c>
      <c r="B36" s="49"/>
      <c r="C36" s="49"/>
      <c r="D36" s="19"/>
      <c r="E36" s="19"/>
    </row>
    <row r="37" spans="1:5" ht="16.899999999999999" customHeight="1" x14ac:dyDescent="0.2">
      <c r="A37" s="48" t="s">
        <v>254</v>
      </c>
      <c r="B37" s="50"/>
      <c r="C37" s="50"/>
      <c r="D37" s="48"/>
      <c r="E37" s="48"/>
    </row>
    <row r="41" spans="1:5" x14ac:dyDescent="0.2">
      <c r="E41" s="30"/>
    </row>
  </sheetData>
  <mergeCells count="3">
    <mergeCell ref="D2:E2"/>
    <mergeCell ref="D3:E4"/>
    <mergeCell ref="A7:E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3"/>
  <sheetViews>
    <sheetView tabSelected="1" topLeftCell="A5" workbookViewId="0">
      <selection activeCell="D17" sqref="D17:E17"/>
    </sheetView>
  </sheetViews>
  <sheetFormatPr defaultRowHeight="14.25" x14ac:dyDescent="0.2"/>
  <cols>
    <col min="1" max="1" width="60.75" customWidth="1"/>
    <col min="2" max="2" width="14" style="111" customWidth="1"/>
    <col min="3" max="3" width="14" customWidth="1"/>
    <col min="4" max="4" width="27.75" style="2" customWidth="1"/>
    <col min="5" max="5" width="21.25" customWidth="1"/>
  </cols>
  <sheetData>
    <row r="2" spans="1:5" s="23" customFormat="1" ht="13.9" customHeight="1" x14ac:dyDescent="0.2">
      <c r="A2" s="19" t="s">
        <v>10</v>
      </c>
      <c r="B2" s="49"/>
      <c r="C2" s="49"/>
      <c r="D2" s="125" t="s">
        <v>302</v>
      </c>
      <c r="E2" s="125"/>
    </row>
    <row r="3" spans="1:5" s="23" customFormat="1" ht="14.65" customHeight="1" x14ac:dyDescent="0.2">
      <c r="A3" s="19" t="s">
        <v>12</v>
      </c>
      <c r="B3" s="49"/>
      <c r="C3" s="49"/>
      <c r="D3" s="126" t="s">
        <v>13</v>
      </c>
      <c r="E3" s="126"/>
    </row>
    <row r="4" spans="1:5" s="30" customFormat="1" ht="17.649999999999999" customHeight="1" x14ac:dyDescent="0.2">
      <c r="A4" s="23" t="s">
        <v>256</v>
      </c>
      <c r="B4" s="32"/>
      <c r="C4" s="32"/>
      <c r="D4" s="126"/>
      <c r="E4" s="126"/>
    </row>
    <row r="5" spans="1:5" s="52" customFormat="1" ht="16.5" x14ac:dyDescent="0.2">
      <c r="A5" s="51"/>
      <c r="B5" s="51" t="s">
        <v>303</v>
      </c>
      <c r="D5" s="18"/>
    </row>
    <row r="6" spans="1:5" s="52" customFormat="1" ht="17.25" x14ac:dyDescent="0.2">
      <c r="A6" s="53"/>
      <c r="B6" s="53" t="s">
        <v>304</v>
      </c>
      <c r="D6" s="18"/>
    </row>
    <row r="7" spans="1:5" s="52" customFormat="1" x14ac:dyDescent="0.2">
      <c r="A7" s="133" t="s">
        <v>305</v>
      </c>
      <c r="B7" s="133"/>
      <c r="C7" s="133"/>
      <c r="D7" s="133"/>
      <c r="E7" s="133"/>
    </row>
    <row r="8" spans="1:5" s="52" customFormat="1" x14ac:dyDescent="0.2">
      <c r="A8" s="29"/>
      <c r="B8" s="99"/>
      <c r="C8" s="41"/>
      <c r="D8" s="41"/>
      <c r="E8" s="92" t="s">
        <v>306</v>
      </c>
    </row>
    <row r="9" spans="1:5" s="52" customFormat="1" x14ac:dyDescent="0.2">
      <c r="A9" s="62" t="s">
        <v>18</v>
      </c>
      <c r="B9" s="62" t="s">
        <v>19</v>
      </c>
      <c r="C9" s="62" t="s">
        <v>20</v>
      </c>
      <c r="D9" s="63" t="s">
        <v>258</v>
      </c>
      <c r="E9" s="62" t="s">
        <v>259</v>
      </c>
    </row>
    <row r="10" spans="1:5" s="52" customFormat="1" x14ac:dyDescent="0.2">
      <c r="A10" s="64">
        <v>1</v>
      </c>
      <c r="B10" s="64">
        <v>2</v>
      </c>
      <c r="C10" s="64">
        <v>3</v>
      </c>
      <c r="D10" s="65">
        <v>4</v>
      </c>
      <c r="E10" s="64">
        <v>5</v>
      </c>
    </row>
    <row r="11" spans="1:5" s="52" customFormat="1" ht="15.75" customHeight="1" x14ac:dyDescent="0.2">
      <c r="A11" s="66" t="s">
        <v>307</v>
      </c>
      <c r="B11" s="67"/>
      <c r="C11" s="67"/>
      <c r="D11" s="101"/>
      <c r="E11" s="102"/>
    </row>
    <row r="12" spans="1:5" s="52" customFormat="1" ht="15.75" customHeight="1" x14ac:dyDescent="0.2">
      <c r="A12" s="68" t="s">
        <v>308</v>
      </c>
      <c r="B12" s="100">
        <v>1</v>
      </c>
      <c r="C12" s="69"/>
      <c r="D12" s="103">
        <f>KQKD!D26</f>
        <v>0</v>
      </c>
      <c r="E12" s="103">
        <f>KQKD!E26</f>
        <v>0</v>
      </c>
    </row>
    <row r="13" spans="1:5" s="52" customFormat="1" ht="15.75" customHeight="1" x14ac:dyDescent="0.2">
      <c r="A13" s="68" t="s">
        <v>309</v>
      </c>
      <c r="B13" s="100"/>
      <c r="C13" s="69"/>
      <c r="D13" s="103">
        <f>SUM(D14:D19)</f>
        <v>0</v>
      </c>
      <c r="E13" s="103">
        <f>SUM(E14:E19)</f>
        <v>0</v>
      </c>
    </row>
    <row r="14" spans="1:5" s="52" customFormat="1" ht="15.75" customHeight="1" x14ac:dyDescent="0.2">
      <c r="A14" s="70" t="s">
        <v>310</v>
      </c>
      <c r="B14" s="100">
        <v>2</v>
      </c>
      <c r="C14" s="69"/>
      <c r="D14" s="104">
        <f>-(CDKT!D49-CDKT!E49+CDKT!D52-CDKT!E52+CDKT!D55-CDKT!E55)</f>
        <v>0</v>
      </c>
      <c r="E14" s="104">
        <f>-(CDKT!E49-CDKT!F49+CDKT!E52-CDKT!F52+CDKT!E55-CDKT!F55)</f>
        <v>0</v>
      </c>
    </row>
    <row r="15" spans="1:5" s="52" customFormat="1" ht="15.75" customHeight="1" x14ac:dyDescent="0.2">
      <c r="A15" s="70" t="s">
        <v>311</v>
      </c>
      <c r="B15" s="100">
        <v>3</v>
      </c>
      <c r="C15" s="69"/>
      <c r="D15" s="104">
        <f>-(CDKT!D17-CDKT!E17+CDKT!D26-CDKT!E26+CDKT!D30-CDKT!E30+CDKT!D45-CDKT!E45+CDKT!D66-CDKT!E66+CDKT!D87-CDKT!E87+CDKT!D103-CDKT!E103)</f>
        <v>0</v>
      </c>
      <c r="E15" s="104">
        <f>-(CDKT!E17-CDKT!F17+CDKT!E26-CDKT!F26+CDKT!E30-CDKT!F30+CDKT!E45-CDKT!F45+CDKT!E66-CDKT!F66+CDKT!E87-CDKT!F87+CDKT!E103-CDKT!F103)</f>
        <v>0</v>
      </c>
    </row>
    <row r="16" spans="1:5" s="52" customFormat="1" ht="25.5" x14ac:dyDescent="0.2">
      <c r="A16" s="70" t="s">
        <v>312</v>
      </c>
      <c r="B16" s="100">
        <v>4</v>
      </c>
      <c r="C16" s="69"/>
      <c r="D16" s="112">
        <f>CDKT!D115-CDKT!E115</f>
        <v>0</v>
      </c>
      <c r="E16" s="112">
        <f>CDKT!E115-CDKT!F115</f>
        <v>0</v>
      </c>
    </row>
    <row r="17" spans="1:5" s="52" customFormat="1" ht="15.75" customHeight="1" x14ac:dyDescent="0.2">
      <c r="A17" s="70" t="s">
        <v>313</v>
      </c>
      <c r="B17" s="100">
        <v>5</v>
      </c>
      <c r="C17" s="69"/>
      <c r="D17" s="112">
        <v>0</v>
      </c>
      <c r="E17" s="116">
        <v>0</v>
      </c>
    </row>
    <row r="18" spans="1:5" s="52" customFormat="1" ht="15.75" customHeight="1" x14ac:dyDescent="0.2">
      <c r="A18" s="70" t="s">
        <v>314</v>
      </c>
      <c r="B18" s="100">
        <v>6</v>
      </c>
      <c r="C18" s="71"/>
      <c r="D18" s="105">
        <f>KQKD!D19</f>
        <v>0</v>
      </c>
      <c r="E18" s="105">
        <f>KQKD!E19</f>
        <v>0</v>
      </c>
    </row>
    <row r="19" spans="1:5" s="52" customFormat="1" ht="15.75" customHeight="1" x14ac:dyDescent="0.2">
      <c r="A19" s="70" t="s">
        <v>315</v>
      </c>
      <c r="B19" s="100">
        <v>7</v>
      </c>
      <c r="C19" s="71"/>
      <c r="D19" s="105">
        <f>-(CDKT!D104-CDKT!E104)</f>
        <v>0</v>
      </c>
      <c r="E19" s="105">
        <f>-(CDKT!E104-CDKT!F104)</f>
        <v>0</v>
      </c>
    </row>
    <row r="20" spans="1:5" s="52" customFormat="1" ht="15.75" customHeight="1" x14ac:dyDescent="0.2">
      <c r="A20" s="72"/>
      <c r="B20" s="100"/>
      <c r="C20" s="71"/>
      <c r="D20" s="112"/>
      <c r="E20" s="113"/>
    </row>
    <row r="21" spans="1:5" s="52" customFormat="1" ht="15.75" customHeight="1" x14ac:dyDescent="0.2">
      <c r="A21" s="68" t="s">
        <v>316</v>
      </c>
      <c r="B21" s="100">
        <v>8</v>
      </c>
      <c r="C21" s="69"/>
      <c r="D21" s="106">
        <f>D12+D13</f>
        <v>0</v>
      </c>
      <c r="E21" s="106">
        <f>E12+E13</f>
        <v>0</v>
      </c>
    </row>
    <row r="22" spans="1:5" s="52" customFormat="1" ht="15.75" customHeight="1" x14ac:dyDescent="0.2">
      <c r="A22" s="70" t="s">
        <v>317</v>
      </c>
      <c r="B22" s="100">
        <v>9</v>
      </c>
      <c r="C22" s="69"/>
      <c r="D22" s="112">
        <f>-(SUM(CDKT!D20:D25)-SUM(CDKT!E20:E25)-(CDKT!D24-CDKT!E24)+CDKT!D27-CDKT!E27+SUM(CDKT!D33:D36) - SUM(CDKT!E33:E36)+SUM(CDKT!D39:D44)-SUM(CDKT!E39:E44)-CDKT!D43-CDKT!E43)</f>
        <v>0</v>
      </c>
      <c r="E22" s="115">
        <f>-(SUM(CDKT!E20:E25)-SUM(CDKT!F20:F25)-(CDKT!E24-CDKT!F24)+CDKT!E27-CDKT!F27+SUM(CDKT!E33:E36) - SUM(CDKT!F33:F36)+SUM(CDKT!E39:E44)-SUM(CDKT!F39:F44)-CDKT!E43-CDKT!F43)</f>
        <v>0</v>
      </c>
    </row>
    <row r="23" spans="1:5" s="52" customFormat="1" ht="15.75" customHeight="1" x14ac:dyDescent="0.2">
      <c r="A23" s="70" t="s">
        <v>318</v>
      </c>
      <c r="B23" s="100">
        <v>10</v>
      </c>
      <c r="C23" s="69"/>
      <c r="D23" s="112">
        <f>-(CDKT!D29-CDKT!E29)-(CDKT!D71-CDKT!E71)</f>
        <v>0</v>
      </c>
      <c r="E23" s="115">
        <f>-(CDKT!E29-CDKT!F29)-(CDKT!E71-CDKT!F71)</f>
        <v>0</v>
      </c>
    </row>
    <row r="24" spans="1:5" s="52" customFormat="1" ht="15.75" customHeight="1" x14ac:dyDescent="0.2">
      <c r="A24" s="70" t="s">
        <v>319</v>
      </c>
      <c r="B24" s="100">
        <v>11</v>
      </c>
      <c r="C24" s="69"/>
      <c r="D24" s="112">
        <f>SUM(CDKT!D77:D85)-SUM(CDKT!E77:E85)+SUM(CDKT!D92:D98)-SUM(CDKT!E92:E98)</f>
        <v>0</v>
      </c>
      <c r="E24" s="116">
        <f>SUM(CDKT!E77:E85)-SUM(CDKT!F77:F85)+SUM(CDKT!E92:E98)-SUM(CDKT!F92:F98)</f>
        <v>0</v>
      </c>
    </row>
    <row r="25" spans="1:5" s="52" customFormat="1" ht="15.75" customHeight="1" x14ac:dyDescent="0.2">
      <c r="A25" s="70" t="s">
        <v>320</v>
      </c>
      <c r="B25" s="100">
        <v>12</v>
      </c>
      <c r="C25" s="69"/>
      <c r="D25" s="105">
        <f>-(CDKT!D32-CDKT!E32+CDKT!D69-CDKT!E69)</f>
        <v>0</v>
      </c>
      <c r="E25" s="105">
        <f>-(CDKT!E32-CDKT!F32+CDKT!E69-CDKT!F69)</f>
        <v>0</v>
      </c>
    </row>
    <row r="26" spans="1:5" s="52" customFormat="1" ht="15.75" customHeight="1" x14ac:dyDescent="0.2">
      <c r="A26" s="70" t="s">
        <v>321</v>
      </c>
      <c r="B26" s="100">
        <v>13</v>
      </c>
      <c r="C26" s="69"/>
      <c r="D26" s="105">
        <f>CDKT!D15-CDKT!E15+CDKT!E17-CDKT!D17+CDKT!D62-CDKT!E62+CDKT!D66-CDKT!E66</f>
        <v>0</v>
      </c>
      <c r="E26" s="105">
        <f>CDKT!E15-CDKT!F15+CDKT!F17-CDKT!E17+CDKT!E62-CDKT!F62+CDKT!E66-CDKT!F66</f>
        <v>0</v>
      </c>
    </row>
    <row r="27" spans="1:5" s="52" customFormat="1" ht="15.75" customHeight="1" x14ac:dyDescent="0.2">
      <c r="A27" s="70" t="s">
        <v>322</v>
      </c>
      <c r="B27" s="100">
        <v>14</v>
      </c>
      <c r="C27" s="69"/>
      <c r="D27" s="112">
        <f>-KQKD!D19</f>
        <v>0</v>
      </c>
      <c r="E27" s="112">
        <f>-KQKD!E19</f>
        <v>0</v>
      </c>
    </row>
    <row r="28" spans="1:5" s="52" customFormat="1" ht="15.75" customHeight="1" x14ac:dyDescent="0.2">
      <c r="A28" s="70" t="s">
        <v>323</v>
      </c>
      <c r="B28" s="100">
        <v>15</v>
      </c>
      <c r="C28" s="69"/>
      <c r="D28" s="112">
        <v>0</v>
      </c>
      <c r="E28" s="112">
        <v>0</v>
      </c>
    </row>
    <row r="29" spans="1:5" s="52" customFormat="1" ht="15.75" customHeight="1" x14ac:dyDescent="0.2">
      <c r="A29" s="70" t="s">
        <v>324</v>
      </c>
      <c r="B29" s="100">
        <v>16</v>
      </c>
      <c r="C29" s="69"/>
      <c r="D29" s="112">
        <v>0</v>
      </c>
      <c r="E29" s="112">
        <v>0</v>
      </c>
    </row>
    <row r="30" spans="1:5" s="52" customFormat="1" ht="15.75" customHeight="1" x14ac:dyDescent="0.2">
      <c r="A30" s="70" t="s">
        <v>325</v>
      </c>
      <c r="B30" s="100">
        <v>17</v>
      </c>
      <c r="C30" s="69"/>
      <c r="D30" s="112">
        <f>CDKT!D60-CDKT!E60</f>
        <v>0</v>
      </c>
      <c r="E30" s="112">
        <f>CDKT!E60-CDKT!F60</f>
        <v>0</v>
      </c>
    </row>
    <row r="31" spans="1:5" s="52" customFormat="1" ht="15.75" customHeight="1" x14ac:dyDescent="0.2">
      <c r="A31" s="68" t="s">
        <v>326</v>
      </c>
      <c r="B31" s="73">
        <v>20</v>
      </c>
      <c r="C31" s="73"/>
      <c r="D31" s="103">
        <f>SUM(D21:D30)</f>
        <v>0</v>
      </c>
      <c r="E31" s="103">
        <f>SUM(E21:E30)</f>
        <v>0</v>
      </c>
    </row>
    <row r="32" spans="1:5" s="52" customFormat="1" ht="15.75" customHeight="1" x14ac:dyDescent="0.2">
      <c r="A32" s="68"/>
      <c r="B32" s="73"/>
      <c r="C32" s="73"/>
      <c r="D32" s="108"/>
      <c r="E32" s="107"/>
    </row>
    <row r="33" spans="1:5" s="52" customFormat="1" ht="15.75" customHeight="1" x14ac:dyDescent="0.2">
      <c r="A33" s="74" t="s">
        <v>327</v>
      </c>
      <c r="B33" s="100"/>
      <c r="C33" s="69"/>
      <c r="D33" s="112"/>
      <c r="E33" s="113"/>
    </row>
    <row r="34" spans="1:5" s="52" customFormat="1" ht="15.75" customHeight="1" x14ac:dyDescent="0.2">
      <c r="A34" s="70" t="s">
        <v>328</v>
      </c>
      <c r="B34" s="100">
        <v>21</v>
      </c>
      <c r="C34" s="69"/>
      <c r="D34" s="112">
        <f>-(CDKT!D48-CDKT!E48+CDKT!D51-CDKT!E51+CDKT!D54-CDKT!E54+CDKT!D59-CDKT!E59)</f>
        <v>0</v>
      </c>
      <c r="E34" s="112">
        <f>-(CDKT!E48-CDKT!F48+CDKT!E51-CDKT!F51+CDKT!E54-CDKT!F54+CDKT!E59-CDKT!F59)</f>
        <v>0</v>
      </c>
    </row>
    <row r="35" spans="1:5" s="52" customFormat="1" ht="15.75" customHeight="1" x14ac:dyDescent="0.2">
      <c r="A35" s="70" t="s">
        <v>329</v>
      </c>
      <c r="B35" s="100">
        <v>22</v>
      </c>
      <c r="C35" s="69"/>
      <c r="D35" s="112">
        <v>0</v>
      </c>
      <c r="E35" s="112">
        <v>0</v>
      </c>
    </row>
    <row r="36" spans="1:5" s="52" customFormat="1" ht="15.75" customHeight="1" x14ac:dyDescent="0.2">
      <c r="A36" s="70" t="s">
        <v>330</v>
      </c>
      <c r="B36" s="100">
        <v>23</v>
      </c>
      <c r="C36" s="69"/>
      <c r="D36" s="112">
        <v>0</v>
      </c>
      <c r="E36" s="112">
        <v>0</v>
      </c>
    </row>
    <row r="37" spans="1:5" s="52" customFormat="1" ht="15.75" customHeight="1" x14ac:dyDescent="0.2">
      <c r="A37" s="70" t="s">
        <v>331</v>
      </c>
      <c r="B37" s="100">
        <v>24</v>
      </c>
      <c r="C37" s="69"/>
      <c r="D37" s="112">
        <v>0</v>
      </c>
      <c r="E37" s="112">
        <v>0</v>
      </c>
    </row>
    <row r="38" spans="1:5" s="52" customFormat="1" ht="15.75" customHeight="1" x14ac:dyDescent="0.2">
      <c r="A38" s="70" t="s">
        <v>332</v>
      </c>
      <c r="B38" s="100">
        <v>25</v>
      </c>
      <c r="C38" s="69"/>
      <c r="D38" s="112">
        <f>-(CDKT!D18-CDKT!E18+SUM(CDKT!D64:D67)-SUM(CDKT!E63:E67))</f>
        <v>0</v>
      </c>
      <c r="E38" s="114">
        <f>-(CDKT!E18-CDKT!F18+SUM(CDKT!E64:E67)-SUM(CDKT!F63:F67))</f>
        <v>0</v>
      </c>
    </row>
    <row r="39" spans="1:5" s="52" customFormat="1" ht="15.75" customHeight="1" x14ac:dyDescent="0.2">
      <c r="A39" s="70" t="s">
        <v>333</v>
      </c>
      <c r="B39" s="100">
        <v>26</v>
      </c>
      <c r="C39" s="69"/>
      <c r="D39" s="112">
        <v>0</v>
      </c>
      <c r="E39" s="112">
        <v>0</v>
      </c>
    </row>
    <row r="40" spans="1:5" s="52" customFormat="1" ht="15.75" customHeight="1" x14ac:dyDescent="0.2">
      <c r="A40" s="70" t="s">
        <v>334</v>
      </c>
      <c r="B40" s="100">
        <v>27</v>
      </c>
      <c r="C40" s="69"/>
      <c r="D40" s="112">
        <v>0</v>
      </c>
      <c r="E40" s="112">
        <v>0</v>
      </c>
    </row>
    <row r="41" spans="1:5" s="52" customFormat="1" ht="15.75" customHeight="1" x14ac:dyDescent="0.2">
      <c r="A41" s="68" t="s">
        <v>335</v>
      </c>
      <c r="B41" s="73">
        <v>30</v>
      </c>
      <c r="C41" s="73"/>
      <c r="D41" s="103">
        <f>SUM(D34:D40)</f>
        <v>0</v>
      </c>
      <c r="E41" s="103">
        <f>SUM(E34:E40)</f>
        <v>0</v>
      </c>
    </row>
    <row r="42" spans="1:5" s="52" customFormat="1" ht="15.75" customHeight="1" x14ac:dyDescent="0.2">
      <c r="A42" s="74"/>
      <c r="B42" s="100"/>
      <c r="C42" s="69"/>
      <c r="D42" s="112"/>
      <c r="E42" s="113"/>
    </row>
    <row r="43" spans="1:5" s="52" customFormat="1" ht="15.75" customHeight="1" x14ac:dyDescent="0.2">
      <c r="A43" s="74" t="s">
        <v>336</v>
      </c>
      <c r="B43" s="100"/>
      <c r="C43" s="69"/>
      <c r="D43" s="112"/>
      <c r="E43" s="113"/>
    </row>
    <row r="44" spans="1:5" s="52" customFormat="1" ht="15.75" customHeight="1" x14ac:dyDescent="0.2">
      <c r="A44" s="129" t="s">
        <v>337</v>
      </c>
      <c r="B44" s="130">
        <v>31</v>
      </c>
      <c r="C44" s="130"/>
      <c r="D44" s="131">
        <f>(CDKT!D107-CDKT!E107)</f>
        <v>0</v>
      </c>
      <c r="E44" s="131">
        <f>(CDKT!E107-CDKT!F107)</f>
        <v>0</v>
      </c>
    </row>
    <row r="45" spans="1:5" s="52" customFormat="1" ht="15.75" customHeight="1" x14ac:dyDescent="0.2">
      <c r="A45" s="129"/>
      <c r="B45" s="130"/>
      <c r="C45" s="130"/>
      <c r="D45" s="131"/>
      <c r="E45" s="131"/>
    </row>
    <row r="46" spans="1:5" s="52" customFormat="1" ht="15.75" customHeight="1" x14ac:dyDescent="0.2">
      <c r="A46" s="70" t="s">
        <v>338</v>
      </c>
      <c r="B46" s="100">
        <v>32</v>
      </c>
      <c r="C46" s="69"/>
      <c r="D46" s="112">
        <f>-(CDKT!D109-CDKT!E109)</f>
        <v>0</v>
      </c>
      <c r="E46" s="114">
        <f>-(CDKT!E109-CDKT!F109)</f>
        <v>0</v>
      </c>
    </row>
    <row r="47" spans="1:5" s="52" customFormat="1" ht="15.75" customHeight="1" x14ac:dyDescent="0.2">
      <c r="A47" s="70" t="s">
        <v>339</v>
      </c>
      <c r="B47" s="100">
        <v>33</v>
      </c>
      <c r="C47" s="69"/>
      <c r="D47" s="105">
        <f>(CDKT!D86-CDKT!E86+CDKT!D99-CDKT!E99)</f>
        <v>0</v>
      </c>
      <c r="E47" s="105">
        <f>(CDKT!E86-CDKT!F86+CDKT!E99-CDKT!F99)</f>
        <v>0</v>
      </c>
    </row>
    <row r="48" spans="1:5" s="52" customFormat="1" ht="15.75" customHeight="1" x14ac:dyDescent="0.2">
      <c r="A48" s="70" t="s">
        <v>340</v>
      </c>
      <c r="B48" s="100">
        <v>34</v>
      </c>
      <c r="C48" s="69"/>
      <c r="D48" s="112"/>
      <c r="E48" s="113"/>
    </row>
    <row r="49" spans="1:5" s="52" customFormat="1" ht="15.75" customHeight="1" x14ac:dyDescent="0.2">
      <c r="A49" s="70" t="s">
        <v>341</v>
      </c>
      <c r="B49" s="100">
        <v>35</v>
      </c>
      <c r="C49" s="69"/>
      <c r="D49" s="112"/>
      <c r="E49" s="113"/>
    </row>
    <row r="50" spans="1:5" s="52" customFormat="1" ht="15.75" customHeight="1" x14ac:dyDescent="0.2">
      <c r="A50" s="129" t="s">
        <v>342</v>
      </c>
      <c r="B50" s="130">
        <v>36</v>
      </c>
      <c r="C50" s="130"/>
      <c r="D50" s="131"/>
      <c r="E50" s="132"/>
    </row>
    <row r="51" spans="1:5" s="52" customFormat="1" ht="15.75" customHeight="1" x14ac:dyDescent="0.2">
      <c r="A51" s="129"/>
      <c r="B51" s="130"/>
      <c r="C51" s="130"/>
      <c r="D51" s="131"/>
      <c r="E51" s="132"/>
    </row>
    <row r="52" spans="1:5" s="52" customFormat="1" ht="15.75" customHeight="1" x14ac:dyDescent="0.2">
      <c r="A52" s="75" t="s">
        <v>343</v>
      </c>
      <c r="B52" s="73">
        <v>40</v>
      </c>
      <c r="C52" s="75"/>
      <c r="D52" s="106">
        <f>SUM(D44:D51)</f>
        <v>0</v>
      </c>
      <c r="E52" s="106">
        <f>SUM(E44:E51)</f>
        <v>0</v>
      </c>
    </row>
    <row r="53" spans="1:5" s="52" customFormat="1" ht="15.75" customHeight="1" x14ac:dyDescent="0.2">
      <c r="A53" s="76" t="s">
        <v>344</v>
      </c>
      <c r="B53" s="78">
        <v>50</v>
      </c>
      <c r="C53" s="77"/>
      <c r="D53" s="106">
        <f>D31+D41+D52</f>
        <v>0</v>
      </c>
      <c r="E53" s="106">
        <f>E31+E41+E52</f>
        <v>0</v>
      </c>
    </row>
    <row r="54" spans="1:5" s="52" customFormat="1" ht="15.75" customHeight="1" x14ac:dyDescent="0.2">
      <c r="A54" s="74" t="s">
        <v>345</v>
      </c>
      <c r="B54" s="78">
        <v>60</v>
      </c>
      <c r="C54" s="78"/>
      <c r="D54" s="103">
        <f>CDKT!E12</f>
        <v>0</v>
      </c>
      <c r="E54" s="103">
        <f>CDKT!F12</f>
        <v>0</v>
      </c>
    </row>
    <row r="55" spans="1:5" s="52" customFormat="1" ht="15.75" customHeight="1" x14ac:dyDescent="0.2">
      <c r="A55" s="70" t="s">
        <v>346</v>
      </c>
      <c r="B55" s="100">
        <v>61</v>
      </c>
      <c r="C55" s="69"/>
      <c r="D55" s="112">
        <v>0</v>
      </c>
      <c r="E55" s="112">
        <v>0</v>
      </c>
    </row>
    <row r="56" spans="1:5" s="52" customFormat="1" ht="15.75" customHeight="1" x14ac:dyDescent="0.2">
      <c r="A56" s="70"/>
      <c r="B56" s="100"/>
      <c r="C56" s="69"/>
      <c r="D56" s="112"/>
      <c r="E56" s="113"/>
    </row>
    <row r="57" spans="1:5" s="52" customFormat="1" ht="15.75" customHeight="1" x14ac:dyDescent="0.2">
      <c r="A57" s="79" t="s">
        <v>347</v>
      </c>
      <c r="B57" s="80">
        <v>70</v>
      </c>
      <c r="C57" s="81"/>
      <c r="D57" s="109">
        <f>D53+D54+D55</f>
        <v>0</v>
      </c>
      <c r="E57" s="109">
        <f>E53+E54+E55</f>
        <v>0</v>
      </c>
    </row>
    <row r="58" spans="1:5" s="52" customFormat="1" ht="15.75" customHeight="1" x14ac:dyDescent="0.2">
      <c r="A58" s="82"/>
      <c r="B58" s="110"/>
      <c r="C58" s="83"/>
      <c r="D58" s="84"/>
      <c r="E58" s="83"/>
    </row>
    <row r="59" spans="1:5" s="52" customFormat="1" ht="15.75" customHeight="1" x14ac:dyDescent="0.2">
      <c r="A59" s="82" t="s">
        <v>348</v>
      </c>
      <c r="B59" s="110"/>
      <c r="C59" s="83"/>
      <c r="D59" s="84"/>
      <c r="E59" s="83"/>
    </row>
    <row r="60" spans="1:5" s="52" customFormat="1" ht="15.75" customHeight="1" x14ac:dyDescent="0.2">
      <c r="A60" s="82"/>
      <c r="B60" s="110"/>
      <c r="C60" s="83"/>
      <c r="D60" s="84"/>
      <c r="E60" s="83"/>
    </row>
    <row r="61" spans="1:5" s="52" customFormat="1" ht="15.75" customHeight="1" x14ac:dyDescent="0.2">
      <c r="A61" s="85" t="s">
        <v>355</v>
      </c>
      <c r="B61" s="110"/>
      <c r="C61" s="83"/>
      <c r="D61" s="84"/>
      <c r="E61" s="83"/>
    </row>
    <row r="62" spans="1:5" s="52" customFormat="1" ht="15.75" customHeight="1" x14ac:dyDescent="0.2">
      <c r="A62" s="86" t="s">
        <v>301</v>
      </c>
      <c r="B62" s="86" t="s">
        <v>349</v>
      </c>
      <c r="C62" s="83"/>
      <c r="D62" s="87" t="s">
        <v>350</v>
      </c>
      <c r="E62" s="83"/>
    </row>
    <row r="63" spans="1:5" s="52" customFormat="1" ht="15.75" customHeight="1" x14ac:dyDescent="0.2">
      <c r="A63" s="88" t="s">
        <v>254</v>
      </c>
      <c r="B63" s="88" t="s">
        <v>351</v>
      </c>
      <c r="C63" s="83"/>
      <c r="D63" s="90" t="s">
        <v>352</v>
      </c>
      <c r="E63" s="83"/>
    </row>
    <row r="64" spans="1:5" s="52" customFormat="1" ht="15.75" customHeight="1" x14ac:dyDescent="0.2">
      <c r="A64" s="91" t="s">
        <v>353</v>
      </c>
      <c r="B64" s="88"/>
      <c r="C64" s="83"/>
      <c r="D64" s="90"/>
      <c r="E64" s="83"/>
    </row>
    <row r="65" spans="1:5" s="52" customFormat="1" ht="15.75" customHeight="1" x14ac:dyDescent="0.2">
      <c r="A65" s="89" t="s">
        <v>354</v>
      </c>
      <c r="B65" s="88"/>
      <c r="C65" s="83"/>
      <c r="D65" s="90"/>
      <c r="E65" s="83"/>
    </row>
    <row r="66" spans="1:5" s="52" customFormat="1" ht="15.75" customHeight="1" x14ac:dyDescent="0.2">
      <c r="A66" s="54"/>
      <c r="B66" s="111"/>
      <c r="D66" s="18"/>
    </row>
    <row r="67" spans="1:5" ht="15.75" customHeight="1" x14ac:dyDescent="0.2"/>
    <row r="68" spans="1:5" ht="15.75" customHeight="1" x14ac:dyDescent="0.2"/>
    <row r="69" spans="1:5" ht="15.75" customHeight="1" x14ac:dyDescent="0.2"/>
    <row r="70" spans="1:5" ht="15.75" customHeight="1" x14ac:dyDescent="0.2"/>
    <row r="71" spans="1:5" ht="15.75" customHeight="1" x14ac:dyDescent="0.2"/>
    <row r="72" spans="1:5" ht="15.75" customHeight="1" x14ac:dyDescent="0.2"/>
    <row r="73" spans="1:5" ht="15.75" customHeight="1" x14ac:dyDescent="0.2"/>
  </sheetData>
  <mergeCells count="13">
    <mergeCell ref="D2:E2"/>
    <mergeCell ref="D3:E4"/>
    <mergeCell ref="A44:A45"/>
    <mergeCell ref="B44:B45"/>
    <mergeCell ref="C44:C45"/>
    <mergeCell ref="D44:D45"/>
    <mergeCell ref="E44:E45"/>
    <mergeCell ref="A7:E7"/>
    <mergeCell ref="A50:A51"/>
    <mergeCell ref="B50:B51"/>
    <mergeCell ref="C50:C51"/>
    <mergeCell ref="D50:D51"/>
    <mergeCell ref="E50:E5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CDSPS</vt:lpstr>
      <vt:lpstr>CDKT</vt:lpstr>
      <vt:lpstr>KQKD</vt:lpstr>
      <vt:lpstr>LCTT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Cong Chinh</dc:creator>
  <cp:lastModifiedBy>strawhat</cp:lastModifiedBy>
  <dcterms:created xsi:type="dcterms:W3CDTF">2016-01-21T00:31:49Z</dcterms:created>
  <dcterms:modified xsi:type="dcterms:W3CDTF">2017-05-02T15:35:25Z</dcterms:modified>
</cp:coreProperties>
</file>