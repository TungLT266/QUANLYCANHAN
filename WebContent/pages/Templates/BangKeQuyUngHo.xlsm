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/>
  <mc:AlternateContent xmlns:mc="http://schemas.openxmlformats.org/markup-compatibility/2006">
    <mc:Choice Requires="x15">
      <x15ac:absPath xmlns:x15ac="http://schemas.microsoft.com/office/spreadsheetml/2010/11/ac" url="C:\Users\vudq\Desktop\"/>
    </mc:Choice>
  </mc:AlternateContent>
  <bookViews>
    <workbookView xWindow="240" yWindow="120" windowWidth="14940" windowHeight="9225" firstSheet="1" activeTab="5"/>
  </bookViews>
  <sheets>
    <sheet name="Bảng kê quý ủng hộ" sheetId="1" state="hidden" r:id="rId1"/>
    <sheet name="Bieu mau thanh toan 2%" sheetId="2" r:id="rId2"/>
    <sheet name="abc" sheetId="3" state="hidden" r:id="rId3"/>
    <sheet name="BK trả thưởng quý khách ký" sheetId="4" state="hidden" r:id="rId4"/>
    <sheet name="Bảng trả thưởng kèm đề nghị" sheetId="5" state="hidden" r:id="rId5"/>
    <sheet name="Bang ke thanh toan 2%" sheetId="6" r:id="rId6"/>
    <sheet name="Sheet1" sheetId="7" r:id="rId7"/>
  </sheets>
  <definedNames>
    <definedName name="_xlnm._FilterDatabase" localSheetId="2" hidden="1">abc!$A$9:$F$9</definedName>
    <definedName name="_xlnm._FilterDatabase" localSheetId="0" hidden="1">'Bảng kê quý ủng hộ'!$A$6:$J$6</definedName>
    <definedName name="_xlnm._FilterDatabase" localSheetId="5" hidden="1">'Bang ke thanh toan 2%'!$A$6:$C$6</definedName>
    <definedName name="_xlnm._FilterDatabase" localSheetId="4" hidden="1">'Bảng trả thưởng kèm đề nghị'!$A$8:$E$8</definedName>
    <definedName name="_xlnm._FilterDatabase" localSheetId="1" hidden="1">'Bieu mau thanh toan 2%'!$A$8:$C$8</definedName>
    <definedName name="_xlnm._FilterDatabase" localSheetId="3" hidden="1">'BK trả thưởng quý khách ký'!$A$8:$E$8</definedName>
    <definedName name="_xlnm.Print_Titles" localSheetId="5">'Bang ke thanh toan 2%'!$7:$7</definedName>
  </definedNames>
  <calcPr calcId="152511"/>
</workbook>
</file>

<file path=xl/calcChain.xml><?xml version="1.0" encoding="utf-8"?>
<calcChain xmlns="http://schemas.openxmlformats.org/spreadsheetml/2006/main">
  <c r="P17" i="1" l="1"/>
  <c r="P16" i="1"/>
  <c r="X15" i="1"/>
  <c r="W15" i="1"/>
  <c r="U15" i="1"/>
  <c r="T15" i="1"/>
  <c r="Z15" i="1" s="1"/>
  <c r="R15" i="1"/>
  <c r="V15" i="1" s="1"/>
  <c r="P15" i="1"/>
  <c r="AA15" i="1" s="1"/>
  <c r="X14" i="1"/>
  <c r="W14" i="1"/>
  <c r="U14" i="1"/>
  <c r="T14" i="1"/>
  <c r="Z14" i="1" s="1"/>
  <c r="R14" i="1"/>
  <c r="V14" i="1" s="1"/>
  <c r="P14" i="1"/>
  <c r="AA14" i="1" s="1"/>
  <c r="X13" i="1"/>
  <c r="W13" i="1"/>
  <c r="U13" i="1"/>
  <c r="T13" i="1"/>
  <c r="Z13" i="1" s="1"/>
  <c r="R13" i="1"/>
  <c r="V13" i="1" s="1"/>
  <c r="P13" i="1"/>
  <c r="AA13" i="1" s="1"/>
  <c r="X12" i="1"/>
  <c r="W12" i="1"/>
  <c r="U12" i="1"/>
  <c r="T12" i="1"/>
  <c r="Z12" i="1" s="1"/>
  <c r="R12" i="1"/>
  <c r="V12" i="1" s="1"/>
  <c r="P12" i="1"/>
  <c r="AA12" i="1" s="1"/>
  <c r="X11" i="1"/>
  <c r="W11" i="1"/>
  <c r="U11" i="1"/>
  <c r="T11" i="1"/>
  <c r="Z11" i="1" s="1"/>
  <c r="R11" i="1"/>
  <c r="V11" i="1" s="1"/>
  <c r="P11" i="1"/>
  <c r="AA11" i="1" s="1"/>
  <c r="X10" i="1"/>
  <c r="W10" i="1"/>
  <c r="U10" i="1"/>
  <c r="T10" i="1"/>
  <c r="Z10" i="1" s="1"/>
  <c r="R10" i="1"/>
  <c r="V10" i="1" s="1"/>
  <c r="P10" i="1"/>
  <c r="AA10" i="1" s="1"/>
  <c r="X9" i="1"/>
  <c r="W9" i="1"/>
  <c r="U9" i="1"/>
  <c r="T9" i="1"/>
  <c r="Z9" i="1" s="1"/>
  <c r="R9" i="1"/>
  <c r="V9" i="1" s="1"/>
  <c r="P9" i="1"/>
  <c r="AA9" i="1" s="1"/>
  <c r="X8" i="1"/>
  <c r="W8" i="1"/>
  <c r="U8" i="1"/>
  <c r="T8" i="1"/>
  <c r="Z8" i="1" s="1"/>
  <c r="R8" i="1"/>
  <c r="V8" i="1" s="1"/>
  <c r="P8" i="1"/>
  <c r="AA8" i="1" s="1"/>
  <c r="X7" i="1"/>
  <c r="W7" i="1"/>
  <c r="U7" i="1"/>
  <c r="T7" i="1"/>
  <c r="R7" i="1"/>
  <c r="V7" i="1" s="1"/>
  <c r="P7" i="1"/>
  <c r="AA7" i="1" s="1"/>
  <c r="AB12" i="1" l="1"/>
  <c r="Y8" i="1"/>
  <c r="AB8" i="1" s="1"/>
  <c r="Y9" i="1"/>
  <c r="AB9" i="1" s="1"/>
  <c r="Y12" i="1"/>
  <c r="Y13" i="1"/>
  <c r="AB13" i="1" s="1"/>
  <c r="Z7" i="1"/>
  <c r="S7" i="1"/>
  <c r="Y7" i="1" s="1"/>
  <c r="AB7" i="1" s="1"/>
  <c r="S8" i="1"/>
  <c r="S9" i="1"/>
  <c r="S10" i="1"/>
  <c r="Y10" i="1" s="1"/>
  <c r="AB10" i="1" s="1"/>
  <c r="S11" i="1"/>
  <c r="Y11" i="1" s="1"/>
  <c r="AB11" i="1" s="1"/>
  <c r="S12" i="1"/>
  <c r="S13" i="1"/>
  <c r="S14" i="1"/>
  <c r="Y14" i="1" s="1"/>
  <c r="AB14" i="1" s="1"/>
  <c r="S15" i="1"/>
  <c r="Y15" i="1" s="1"/>
  <c r="AB15" i="1" s="1"/>
</calcChain>
</file>

<file path=xl/comments1.xml><?xml version="1.0" encoding="utf-8"?>
<comments xmlns="http://schemas.openxmlformats.org/spreadsheetml/2006/main">
  <authors>
    <author/>
  </authors>
  <commentList>
    <comment ref="B9" authorId="0" shapeId="0">
      <text>
        <r>
          <rPr>
            <b/>
            <sz val="9"/>
            <rFont val="Tahoma"/>
          </rPr>
          <t>Le Thanh Viet:</t>
        </r>
        <r>
          <rPr>
            <sz val="9"/>
            <rFont val="Tahoma"/>
          </rPr>
          <t xml:space="preserve">
Mã hợp đồng</t>
        </r>
      </text>
    </comment>
    <comment ref="E9" authorId="0" shapeId="0">
      <text>
        <r>
          <rPr>
            <b/>
            <sz val="9"/>
            <rFont val="Tahoma"/>
          </rPr>
          <t>Le Thanh Viet:</t>
        </r>
        <r>
          <rPr>
            <sz val="9"/>
            <rFont val="Tahoma"/>
          </rPr>
          <t xml:space="preserve">
Lấy theo số CMND trong dữ liệu nền khách hàng</t>
        </r>
      </text>
    </comment>
  </commentList>
</comments>
</file>

<file path=xl/sharedStrings.xml><?xml version="1.0" encoding="utf-8"?>
<sst xmlns="http://schemas.openxmlformats.org/spreadsheetml/2006/main" count="86" uniqueCount="80">
  <si>
    <t xml:space="preserve">Hình thức trả thưởng </t>
  </si>
  <si>
    <t>Địa chỉ thực tế để khảo sát</t>
  </si>
  <si>
    <t>Doanh số đạt thanh toán là doanh số của những tháng đạt cả giá và tiêu chí ủng hộ</t>
  </si>
  <si>
    <t xml:space="preserve"> BẢNG KÊ THANH TOÁN QUÍ 1/2015</t>
  </si>
  <si>
    <t>BẢNG KÊ THANH TOÁN QUÝ 1/ 2015</t>
  </si>
  <si>
    <t xml:space="preserve">Any Violation to the Usage Policies of this Product shall require a mandatory purchase of pay license </t>
  </si>
  <si>
    <t>Doanh số
 "Sức khỏe xanh"/quí</t>
  </si>
  <si>
    <t>Doanh số đạt 
thanh toán(đ)</t>
  </si>
  <si>
    <t>Thưởng 
D.số "Sức khỏe xanh"</t>
  </si>
  <si>
    <t>BB- BL - CN</t>
  </si>
  <si>
    <t>Thưởng 
"Khích lệ"</t>
  </si>
  <si>
    <t>BM 01/ CSBH - TT THÁNG</t>
  </si>
  <si>
    <t>Địa chỉ</t>
  </si>
  <si>
    <t>BM05/CSBH 2015</t>
  </si>
  <si>
    <t>Trình dược viên: Nguyễn Huy Hoàng</t>
  </si>
  <si>
    <t>Doanh số
 tháng 2</t>
  </si>
  <si>
    <t>Doanh số
 tháng 3</t>
  </si>
  <si>
    <t>This file is created using EVALUATION VERSION of Aspose.Cells for Java.</t>
  </si>
  <si>
    <t>HOA123</t>
  </si>
  <si>
    <t>Tỉnh</t>
  </si>
  <si>
    <t>DOANH SỐ</t>
  </si>
  <si>
    <t>Evaluation Limitations:</t>
  </si>
  <si>
    <t>Thực lĩnh</t>
  </si>
  <si>
    <t>Chi nhánh/khu vực: ….</t>
  </si>
  <si>
    <t>Doanh số
 quí</t>
  </si>
  <si>
    <t>BL - CN</t>
  </si>
  <si>
    <t>Số hợp đồng (điền trong HĐ)</t>
  </si>
  <si>
    <t>Đạt thưởng theo quí DS HH+Boga</t>
  </si>
  <si>
    <t>Doanh số 
HH + Boga/quí</t>
  </si>
  <si>
    <t>BẢNG KÊ DOANH SỐ QUÍ 1/ 2015</t>
  </si>
  <si>
    <t xml:space="preserve">Doanh số
 tháng 1 </t>
  </si>
  <si>
    <t>BB- BL - DT</t>
  </si>
  <si>
    <t>Tháng nào không đạt về giá hoặc tiêu chí ủng hộ thì để doanh số của tháng đó bằng 0</t>
  </si>
  <si>
    <t>Phân loại khách hàng</t>
  </si>
  <si>
    <t>TB001</t>
  </si>
  <si>
    <t>% Thưởng</t>
  </si>
  <si>
    <t>Mã HĐ</t>
  </si>
  <si>
    <t>Ngày sinh</t>
  </si>
  <si>
    <t>BL - DT</t>
  </si>
  <si>
    <t>Họ và tên</t>
  </si>
  <si>
    <t>Đạt thưởng theo tháng</t>
  </si>
  <si>
    <t>Đạt thưởng "Khích lệ"</t>
  </si>
  <si>
    <t>Thuế 10%</t>
  </si>
  <si>
    <t>Chi nhánh/khu vực: Chi nhánh công ty cổ phần Traphaco tại TP Hồ Chí Minh</t>
  </si>
  <si>
    <t>Thái Bình</t>
  </si>
  <si>
    <t>Số lần đạt 
tiêu chí/quí</t>
  </si>
  <si>
    <t>Thưởng
 D.số HH+Boga</t>
  </si>
  <si>
    <t>BM06/CSBH2015</t>
  </si>
  <si>
    <t>Mã khách</t>
  </si>
  <si>
    <t>Tháng sinh</t>
  </si>
  <si>
    <t>THƯỞNG</t>
  </si>
  <si>
    <t>Ký và ghi rõ họ tên</t>
  </si>
  <si>
    <t>STT</t>
  </si>
  <si>
    <t>Trình dược viên:……</t>
  </si>
  <si>
    <t xml:space="preserve"> (THEO CHƯƠNG TRÌNH "KHÍCH LỆ ỦNG HỘ SẢN PHẨM TRAPHACO)</t>
  </si>
  <si>
    <t>The usage of this Evaluation Version in any Commercial Application is strongly PROHIBITED.</t>
  </si>
  <si>
    <t>Copyright 2003 - 2010 Aspose Pty Ltd.</t>
  </si>
  <si>
    <t>This EVALUATION LICENSE WARNING worksheet will be added to all worksheets created with Aspose.Cells for Java.</t>
  </si>
  <si>
    <t>Tổng thưởng</t>
  </si>
  <si>
    <t>Đơn vị tính: đồng</t>
  </si>
  <si>
    <t>CMT/MST</t>
  </si>
  <si>
    <t>Doanh số đạt
 thanh toán</t>
  </si>
  <si>
    <t xml:space="preserve">Thành tiền </t>
  </si>
  <si>
    <t>Mã khách
(Với Chi nhánh và các tỉnh bán hàng trực tiếp thì mã theo mã trong phần mềm kế toán )</t>
  </si>
  <si>
    <t>TN002</t>
  </si>
  <si>
    <t>Tổng DS quý</t>
  </si>
  <si>
    <t>Thưởng 
doanh số tháng 3</t>
  </si>
  <si>
    <t>HOA345</t>
  </si>
  <si>
    <t>Thưởng 
doanh số tháng 2</t>
  </si>
  <si>
    <t>(Dành cho khách hàng bán lẻ)</t>
  </si>
  <si>
    <t>Thưởng 
doanh số tháng 1</t>
  </si>
  <si>
    <t>Số điện thoại</t>
  </si>
  <si>
    <t>Doanh số tháng 1</t>
  </si>
  <si>
    <t>Doanh số tháng 2</t>
  </si>
  <si>
    <t>Doanh số tháng 3</t>
  </si>
  <si>
    <t>Nguyễn Văn B</t>
  </si>
  <si>
    <t>Nguyễn Văn A</t>
  </si>
  <si>
    <t>as well as expose the user to other legal recourse for collection and punitive damages.</t>
  </si>
  <si>
    <t>EVALUATION COPYRIGHT WARNING</t>
  </si>
  <si>
    <t>Đạt thưởng theo quí DS "Sức khỏe xanh"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</si>
</sst>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8" formatCode="_-&quot;£&quot;* #,##0_-;\-&quot;£&quot;* #,##0_-;_-&quot;£&quot;* &quot;-&quot;_-;_-@_-"/>
    <numFmt numFmtId="169" formatCode="_-* #,##0_-;\-* #,##0_-;_-* &quot;-&quot;_-;_-@_-"/>
    <numFmt numFmtId="170" formatCode="_-&quot;£&quot;* #,##0.00_-;\-&quot;£&quot;* #,##0.00_-;_-&quot;£&quot;* &quot;-&quot;??_-;_-@_-"/>
    <numFmt numFmtId="171" formatCode="_-* #,##0.00_-;\-* #,##0.00_-;_-* &quot;-&quot;??_-;_-@_-"/>
    <numFmt numFmtId="181" formatCode="_-* #,##0_-;\-* #,##0_-;_-* &quot;-&quot;??_-;_-@_-"/>
    <numFmt numFmtId="182" formatCode="\ ###\ ###\ ###\ ###"/>
  </numFmts>
  <fonts count="41" x14ac:knownFonts="1">
    <font>
      <sz val="11"/>
      <color theme="1"/>
      <name val="Calibri"/>
      <family val="2"/>
      <scheme val="minor"/>
    </font>
    <font>
      <sz val="10"/>
      <name val="Times New Roman"/>
      <family val="1"/>
    </font>
    <font>
      <b/>
      <sz val="10"/>
      <name val="Times New Roman"/>
      <family val="1"/>
    </font>
    <font>
      <i/>
      <sz val="10"/>
      <name val="Times New Roman"/>
      <family val="1"/>
    </font>
    <font>
      <b/>
      <sz val="11"/>
      <name val="Times New Roman"/>
      <family val="1"/>
    </font>
    <font>
      <sz val="9"/>
      <name val="Tahoma"/>
    </font>
    <font>
      <b/>
      <sz val="9"/>
      <name val="Tahoma"/>
    </font>
    <font>
      <sz val="11"/>
      <color rgb="FF000000"/>
      <name val="Times New Roman"/>
      <family val="1"/>
    </font>
    <font>
      <b/>
      <sz val="11"/>
      <color rgb="FF000000"/>
      <name val="Times New Roman"/>
      <family val="1"/>
    </font>
    <font>
      <i/>
      <sz val="11"/>
      <color rgb="FF000000"/>
      <name val="Times New Roman"/>
      <family val="1"/>
    </font>
    <font>
      <b/>
      <sz val="10"/>
      <color rgb="FF000000"/>
      <name val="Times New Roman"/>
      <family val="1"/>
    </font>
    <font>
      <sz val="10"/>
      <color rgb="FF000000"/>
      <name val="Times New Roman"/>
      <family val="1"/>
    </font>
    <font>
      <b/>
      <sz val="11"/>
      <color rgb="FFFF0000"/>
      <name val="Times New Roman"/>
      <family val="1"/>
    </font>
    <font>
      <b/>
      <i/>
      <sz val="11"/>
      <color rgb="FF000000"/>
      <name val="Times New Roman"/>
      <family val="1"/>
    </font>
    <font>
      <b/>
      <i/>
      <sz val="11"/>
      <color rgb="FFFF0000"/>
      <name val="Times New Roman"/>
      <family val="1"/>
    </font>
    <font>
      <b/>
      <sz val="16"/>
      <color rgb="FF000000"/>
      <name val="Times New Roman"/>
      <family val="1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8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4" tint="0.79967650379955446"/>
        <bgColor indexed="64"/>
      </patternFill>
    </fill>
    <fill>
      <patternFill patternType="solid">
        <fgColor theme="5" tint="0.79967650379955446"/>
        <bgColor indexed="64"/>
      </patternFill>
    </fill>
    <fill>
      <patternFill patternType="solid">
        <fgColor theme="6" tint="0.79967650379955446"/>
        <bgColor indexed="64"/>
      </patternFill>
    </fill>
    <fill>
      <patternFill patternType="solid">
        <fgColor theme="7" tint="0.79967650379955446"/>
        <bgColor indexed="64"/>
      </patternFill>
    </fill>
    <fill>
      <patternFill patternType="solid">
        <fgColor theme="8" tint="0.79967650379955446"/>
        <bgColor indexed="64"/>
      </patternFill>
    </fill>
    <fill>
      <patternFill patternType="solid">
        <fgColor theme="9" tint="0.79967650379955446"/>
        <bgColor indexed="64"/>
      </patternFill>
    </fill>
    <fill>
      <patternFill patternType="solid">
        <fgColor theme="4" tint="0.59987182226020086"/>
        <bgColor indexed="64"/>
      </patternFill>
    </fill>
    <fill>
      <patternFill patternType="solid">
        <fgColor theme="5" tint="0.59987182226020086"/>
        <bgColor indexed="64"/>
      </patternFill>
    </fill>
    <fill>
      <patternFill patternType="solid">
        <fgColor theme="6" tint="0.59987182226020086"/>
        <bgColor indexed="64"/>
      </patternFill>
    </fill>
    <fill>
      <patternFill patternType="solid">
        <fgColor theme="7" tint="0.59987182226020086"/>
        <bgColor indexed="64"/>
      </patternFill>
    </fill>
    <fill>
      <patternFill patternType="solid">
        <fgColor theme="8" tint="0.59987182226020086"/>
        <bgColor indexed="64"/>
      </patternFill>
    </fill>
    <fill>
      <patternFill patternType="solid">
        <fgColor theme="9" tint="0.59987182226020086"/>
        <bgColor indexed="64"/>
      </patternFill>
    </fill>
    <fill>
      <patternFill patternType="solid">
        <fgColor theme="4" tint="0.39957884456923126"/>
        <bgColor indexed="64"/>
      </patternFill>
    </fill>
    <fill>
      <patternFill patternType="solid">
        <fgColor theme="5" tint="0.39957884456923126"/>
        <bgColor indexed="64"/>
      </patternFill>
    </fill>
    <fill>
      <patternFill patternType="solid">
        <fgColor theme="6" tint="0.39957884456923126"/>
        <bgColor indexed="64"/>
      </patternFill>
    </fill>
    <fill>
      <patternFill patternType="solid">
        <fgColor theme="7" tint="0.39957884456923126"/>
        <bgColor indexed="64"/>
      </patternFill>
    </fill>
    <fill>
      <patternFill patternType="solid">
        <fgColor theme="8" tint="0.39957884456923126"/>
        <bgColor indexed="64"/>
      </patternFill>
    </fill>
    <fill>
      <patternFill patternType="solid">
        <fgColor theme="9" tint="0.3995788445692312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FF"/>
        <bgColor indexed="64"/>
      </patternFill>
    </fill>
  </fills>
  <borders count="2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74059266945403"/>
      </bottom>
      <diagonal/>
    </border>
    <border>
      <left/>
      <right/>
      <top/>
      <bottom style="medium">
        <color theme="4" tint="0.39957884456923126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FF"/>
      </left>
      <right/>
      <top style="medium">
        <color rgb="FF0000FF"/>
      </top>
      <bottom style="medium">
        <color rgb="FF0000FF"/>
      </bottom>
      <diagonal/>
    </border>
    <border>
      <left/>
      <right/>
      <top style="medium">
        <color rgb="FF0000FF"/>
      </top>
      <bottom style="medium">
        <color rgb="FF0000FF"/>
      </bottom>
      <diagonal/>
    </border>
    <border>
      <left/>
      <right style="medium">
        <color rgb="FF0000FF"/>
      </right>
      <top style="medium">
        <color rgb="FF0000FF"/>
      </top>
      <bottom style="medium">
        <color rgb="FF0000FF"/>
      </bottom>
      <diagonal/>
    </border>
  </borders>
  <cellStyleXfs count="47">
    <xf numFmtId="0" fontId="0" fillId="0" borderId="0"/>
    <xf numFmtId="0" fontId="40" fillId="2" borderId="0" applyNumberFormat="0" applyBorder="0" applyAlignment="0" applyProtection="0"/>
    <xf numFmtId="0" fontId="40" fillId="3" borderId="0" applyNumberFormat="0" applyBorder="0" applyAlignment="0" applyProtection="0"/>
    <xf numFmtId="0" fontId="40" fillId="4" borderId="0" applyNumberFormat="0" applyBorder="0" applyAlignment="0" applyProtection="0"/>
    <xf numFmtId="0" fontId="40" fillId="5" borderId="0" applyNumberFormat="0" applyBorder="0" applyAlignment="0" applyProtection="0"/>
    <xf numFmtId="0" fontId="40" fillId="6" borderId="0" applyNumberFormat="0" applyBorder="0" applyAlignment="0" applyProtection="0"/>
    <xf numFmtId="0" fontId="40" fillId="7" borderId="0" applyNumberFormat="0" applyBorder="0" applyAlignment="0" applyProtection="0"/>
    <xf numFmtId="0" fontId="40" fillId="8" borderId="0" applyNumberFormat="0" applyBorder="0" applyAlignment="0" applyProtection="0"/>
    <xf numFmtId="0" fontId="40" fillId="9" borderId="0" applyNumberFormat="0" applyBorder="0" applyAlignment="0" applyProtection="0"/>
    <xf numFmtId="0" fontId="40" fillId="10" borderId="0" applyNumberFormat="0" applyBorder="0" applyAlignment="0" applyProtection="0"/>
    <xf numFmtId="0" fontId="40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6" fillId="22" borderId="0" applyNumberFormat="0" applyBorder="0" applyAlignment="0" applyProtection="0"/>
    <xf numFmtId="0" fontId="16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7" fillId="26" borderId="0" applyNumberFormat="0" applyBorder="0" applyAlignment="0" applyProtection="0"/>
    <xf numFmtId="0" fontId="18" fillId="27" borderId="1" applyNumberFormat="0" applyAlignment="0" applyProtection="0"/>
    <xf numFmtId="0" fontId="19" fillId="28" borderId="2" applyNumberFormat="0" applyAlignment="0" applyProtection="0"/>
    <xf numFmtId="171" fontId="40" fillId="0" borderId="0" applyFill="0" applyBorder="0" applyAlignment="0" applyProtection="0"/>
    <xf numFmtId="169" fontId="40" fillId="0" borderId="0" applyFill="0" applyBorder="0" applyAlignment="0" applyProtection="0"/>
    <xf numFmtId="170" fontId="40" fillId="0" borderId="0" applyFill="0" applyBorder="0" applyAlignment="0" applyProtection="0"/>
    <xf numFmtId="168" fontId="40" fillId="0" borderId="0" applyFill="0" applyBorder="0" applyAlignment="0" applyProtection="0"/>
    <xf numFmtId="0" fontId="20" fillId="0" borderId="0" applyNumberFormat="0" applyFill="0" applyBorder="0" applyAlignment="0" applyProtection="0"/>
    <xf numFmtId="0" fontId="21" fillId="29" borderId="0" applyNumberFormat="0" applyBorder="0" applyAlignment="0" applyProtection="0"/>
    <xf numFmtId="0" fontId="22" fillId="0" borderId="3" applyNumberFormat="0" applyFill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24" fillId="0" borderId="0" applyNumberFormat="0" applyFill="0" applyBorder="0" applyAlignment="0" applyProtection="0"/>
    <xf numFmtId="0" fontId="25" fillId="30" borderId="1" applyNumberFormat="0" applyAlignment="0" applyProtection="0"/>
    <xf numFmtId="0" fontId="26" fillId="0" borderId="6" applyNumberFormat="0" applyFill="0" applyAlignment="0" applyProtection="0"/>
    <xf numFmtId="0" fontId="27" fillId="31" borderId="0" applyNumberFormat="0" applyBorder="0" applyAlignment="0" applyProtection="0"/>
    <xf numFmtId="0" fontId="40" fillId="32" borderId="7" applyNumberFormat="0" applyAlignment="0" applyProtection="0"/>
    <xf numFmtId="0" fontId="28" fillId="27" borderId="8" applyNumberFormat="0" applyAlignment="0" applyProtection="0"/>
    <xf numFmtId="9" fontId="40" fillId="0" borderId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9" applyNumberFormat="0" applyFill="0" applyAlignment="0" applyProtection="0"/>
    <xf numFmtId="0" fontId="31" fillId="0" borderId="0" applyNumberFormat="0" applyFill="0" applyBorder="0" applyAlignment="0" applyProtection="0"/>
  </cellStyleXfs>
  <cellXfs count="167">
    <xf numFmtId="0" fontId="0" fillId="0" borderId="0" xfId="0" applyFont="1"/>
    <xf numFmtId="0" fontId="7" fillId="0" borderId="10" xfId="0" applyFont="1" applyBorder="1"/>
    <xf numFmtId="0" fontId="8" fillId="0" borderId="10" xfId="0" applyFont="1" applyBorder="1"/>
    <xf numFmtId="0" fontId="7" fillId="0" borderId="11" xfId="0" applyFont="1" applyBorder="1"/>
    <xf numFmtId="0" fontId="8" fillId="0" borderId="11" xfId="0" applyFont="1" applyBorder="1"/>
    <xf numFmtId="0" fontId="7" fillId="0" borderId="12" xfId="0" applyFont="1" applyBorder="1"/>
    <xf numFmtId="0" fontId="7" fillId="0" borderId="0" xfId="0" applyFont="1"/>
    <xf numFmtId="0" fontId="8" fillId="0" borderId="13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 wrapText="1"/>
    </xf>
    <xf numFmtId="14" fontId="7" fillId="0" borderId="10" xfId="0" applyNumberFormat="1" applyFont="1" applyBorder="1"/>
    <xf numFmtId="14" fontId="7" fillId="0" borderId="11" xfId="0" applyNumberFormat="1" applyFont="1" applyBorder="1"/>
    <xf numFmtId="0" fontId="7" fillId="0" borderId="0" xfId="0" applyFont="1" applyAlignment="1">
      <alignment vertical="center"/>
    </xf>
    <xf numFmtId="0" fontId="8" fillId="0" borderId="14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 wrapText="1"/>
    </xf>
    <xf numFmtId="0" fontId="0" fillId="0" borderId="11" xfId="0" applyFont="1" applyBorder="1"/>
    <xf numFmtId="0" fontId="0" fillId="0" borderId="12" xfId="0" applyFont="1" applyBorder="1"/>
    <xf numFmtId="0" fontId="7" fillId="0" borderId="10" xfId="0" applyFont="1" applyBorder="1" applyAlignment="1">
      <alignment vertical="center" wrapText="1"/>
    </xf>
    <xf numFmtId="0" fontId="8" fillId="0" borderId="0" xfId="0" applyFont="1" applyAlignment="1">
      <alignment vertical="center"/>
    </xf>
    <xf numFmtId="181" fontId="0" fillId="0" borderId="0" xfId="28" applyNumberFormat="1" applyFont="1"/>
    <xf numFmtId="181" fontId="8" fillId="0" borderId="13" xfId="28" applyNumberFormat="1" applyFont="1" applyBorder="1" applyAlignment="1">
      <alignment horizontal="center" vertical="center" wrapText="1"/>
    </xf>
    <xf numFmtId="181" fontId="7" fillId="0" borderId="10" xfId="28" applyNumberFormat="1" applyFont="1" applyBorder="1" applyAlignment="1">
      <alignment horizontal="center" vertical="center" wrapText="1"/>
    </xf>
    <xf numFmtId="181" fontId="7" fillId="0" borderId="10" xfId="28" applyNumberFormat="1" applyFont="1" applyBorder="1" applyAlignment="1">
      <alignment vertical="center" wrapText="1"/>
    </xf>
    <xf numFmtId="181" fontId="0" fillId="0" borderId="11" xfId="28" applyNumberFormat="1" applyFont="1" applyBorder="1"/>
    <xf numFmtId="181" fontId="0" fillId="0" borderId="12" xfId="28" applyNumberFormat="1" applyFont="1" applyBorder="1"/>
    <xf numFmtId="181" fontId="8" fillId="0" borderId="13" xfId="28" applyNumberFormat="1" applyFont="1" applyBorder="1" applyAlignment="1">
      <alignment vertical="center"/>
    </xf>
    <xf numFmtId="181" fontId="7" fillId="0" borderId="10" xfId="28" applyNumberFormat="1" applyFont="1" applyBorder="1" applyAlignment="1">
      <alignment vertical="center"/>
    </xf>
    <xf numFmtId="0" fontId="0" fillId="33" borderId="0" xfId="0" applyFont="1" applyFill="1"/>
    <xf numFmtId="0" fontId="7" fillId="0" borderId="0" xfId="0" applyFont="1" applyAlignment="1">
      <alignment horizontal="center"/>
    </xf>
    <xf numFmtId="0" fontId="7" fillId="0" borderId="0" xfId="0" applyFont="1" applyAlignment="1"/>
    <xf numFmtId="0" fontId="2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0" fillId="0" borderId="0" xfId="0" applyFont="1"/>
    <xf numFmtId="0" fontId="7" fillId="0" borderId="15" xfId="0" applyFont="1" applyBorder="1"/>
    <xf numFmtId="181" fontId="0" fillId="0" borderId="15" xfId="28" applyNumberFormat="1" applyFont="1" applyBorder="1"/>
    <xf numFmtId="0" fontId="8" fillId="0" borderId="13" xfId="0" applyFont="1" applyBorder="1"/>
    <xf numFmtId="181" fontId="30" fillId="0" borderId="13" xfId="28" applyNumberFormat="1" applyFont="1" applyBorder="1"/>
    <xf numFmtId="0" fontId="9" fillId="0" borderId="0" xfId="0" applyFont="1"/>
    <xf numFmtId="181" fontId="32" fillId="0" borderId="0" xfId="28" applyNumberFormat="1" applyFont="1"/>
    <xf numFmtId="0" fontId="32" fillId="0" borderId="0" xfId="0" applyFont="1"/>
    <xf numFmtId="181" fontId="33" fillId="0" borderId="0" xfId="28" applyNumberFormat="1" applyFont="1"/>
    <xf numFmtId="0" fontId="0" fillId="0" borderId="0" xfId="0" applyFont="1" applyAlignment="1">
      <alignment horizontal="right"/>
    </xf>
    <xf numFmtId="182" fontId="1" fillId="0" borderId="0" xfId="28" applyNumberFormat="1" applyFont="1" applyBorder="1" applyAlignment="1">
      <alignment horizontal="center"/>
    </xf>
    <xf numFmtId="0" fontId="8" fillId="0" borderId="13" xfId="0" applyFont="1" applyBorder="1" applyAlignment="1">
      <alignment horizontal="left" vertical="top" textRotation="255"/>
    </xf>
    <xf numFmtId="0" fontId="2" fillId="0" borderId="0" xfId="0" applyFont="1" applyAlignment="1"/>
    <xf numFmtId="0" fontId="3" fillId="0" borderId="0" xfId="0" applyFont="1" applyAlignment="1"/>
    <xf numFmtId="0" fontId="10" fillId="0" borderId="13" xfId="0" applyFont="1" applyBorder="1" applyAlignment="1">
      <alignment horizontal="center" vertical="center" wrapText="1"/>
    </xf>
    <xf numFmtId="0" fontId="11" fillId="0" borderId="0" xfId="0" applyFont="1" applyAlignment="1">
      <alignment vertical="center"/>
    </xf>
    <xf numFmtId="0" fontId="11" fillId="0" borderId="10" xfId="0" applyFont="1" applyBorder="1"/>
    <xf numFmtId="181" fontId="11" fillId="0" borderId="10" xfId="28" applyNumberFormat="1" applyFont="1" applyBorder="1" applyAlignment="1">
      <alignment vertical="center" wrapText="1"/>
    </xf>
    <xf numFmtId="0" fontId="34" fillId="0" borderId="0" xfId="0" applyFont="1"/>
    <xf numFmtId="0" fontId="11" fillId="0" borderId="11" xfId="0" applyFont="1" applyBorder="1"/>
    <xf numFmtId="181" fontId="34" fillId="0" borderId="11" xfId="28" applyNumberFormat="1" applyFont="1" applyBorder="1"/>
    <xf numFmtId="0" fontId="10" fillId="0" borderId="13" xfId="0" applyFont="1" applyBorder="1"/>
    <xf numFmtId="0" fontId="35" fillId="0" borderId="0" xfId="0" applyFont="1"/>
    <xf numFmtId="181" fontId="7" fillId="0" borderId="0" xfId="28" applyNumberFormat="1" applyFont="1"/>
    <xf numFmtId="181" fontId="8" fillId="0" borderId="0" xfId="28" applyNumberFormat="1" applyFont="1"/>
    <xf numFmtId="181" fontId="8" fillId="34" borderId="16" xfId="28" applyNumberFormat="1" applyFont="1" applyFill="1" applyBorder="1" applyAlignment="1">
      <alignment horizontal="center" vertical="center" wrapText="1"/>
    </xf>
    <xf numFmtId="181" fontId="7" fillId="0" borderId="10" xfId="28" applyNumberFormat="1" applyFont="1" applyBorder="1"/>
    <xf numFmtId="181" fontId="7" fillId="0" borderId="11" xfId="28" applyNumberFormat="1" applyFont="1" applyBorder="1"/>
    <xf numFmtId="181" fontId="7" fillId="0" borderId="15" xfId="28" applyNumberFormat="1" applyFont="1" applyBorder="1"/>
    <xf numFmtId="181" fontId="8" fillId="0" borderId="13" xfId="28" applyNumberFormat="1" applyFont="1" applyBorder="1"/>
    <xf numFmtId="181" fontId="9" fillId="0" borderId="0" xfId="28" applyNumberFormat="1" applyFont="1"/>
    <xf numFmtId="181" fontId="2" fillId="0" borderId="0" xfId="28" applyNumberFormat="1" applyFont="1" applyAlignment="1">
      <alignment horizontal="center"/>
    </xf>
    <xf numFmtId="181" fontId="1" fillId="0" borderId="0" xfId="28" applyNumberFormat="1" applyFont="1"/>
    <xf numFmtId="181" fontId="3" fillId="0" borderId="0" xfId="28" applyNumberFormat="1" applyFont="1" applyAlignment="1">
      <alignment horizontal="center"/>
    </xf>
    <xf numFmtId="0" fontId="36" fillId="0" borderId="0" xfId="0" applyFont="1" applyAlignment="1">
      <alignment horizontal="center"/>
    </xf>
    <xf numFmtId="0" fontId="8" fillId="0" borderId="0" xfId="0" applyFont="1" applyAlignment="1"/>
    <xf numFmtId="0" fontId="10" fillId="0" borderId="13" xfId="0" applyFont="1" applyBorder="1" applyAlignment="1">
      <alignment horizontal="left" vertical="top" textRotation="255"/>
    </xf>
    <xf numFmtId="0" fontId="10" fillId="0" borderId="13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top" wrapText="1"/>
    </xf>
    <xf numFmtId="181" fontId="10" fillId="0" borderId="13" xfId="28" applyNumberFormat="1" applyFont="1" applyBorder="1" applyAlignment="1">
      <alignment horizontal="center" vertical="top" wrapText="1"/>
    </xf>
    <xf numFmtId="0" fontId="10" fillId="0" borderId="13" xfId="0" applyFont="1" applyBorder="1" applyAlignment="1">
      <alignment vertical="top" wrapText="1"/>
    </xf>
    <xf numFmtId="181" fontId="11" fillId="0" borderId="10" xfId="28" applyNumberFormat="1" applyFont="1" applyBorder="1"/>
    <xf numFmtId="0" fontId="34" fillId="0" borderId="10" xfId="0" applyFont="1" applyBorder="1"/>
    <xf numFmtId="0" fontId="34" fillId="0" borderId="11" xfId="0" applyFont="1" applyBorder="1"/>
    <xf numFmtId="181" fontId="11" fillId="0" borderId="11" xfId="28" applyNumberFormat="1" applyFont="1" applyBorder="1"/>
    <xf numFmtId="0" fontId="11" fillId="0" borderId="15" xfId="0" applyFont="1" applyBorder="1"/>
    <xf numFmtId="181" fontId="11" fillId="0" borderId="15" xfId="28" applyNumberFormat="1" applyFont="1" applyBorder="1"/>
    <xf numFmtId="181" fontId="34" fillId="0" borderId="15" xfId="28" applyNumberFormat="1" applyFont="1" applyBorder="1"/>
    <xf numFmtId="0" fontId="10" fillId="0" borderId="13" xfId="0" applyFont="1" applyBorder="1" applyAlignment="1">
      <alignment vertical="center"/>
    </xf>
    <xf numFmtId="0" fontId="35" fillId="0" borderId="13" xfId="0" applyFont="1" applyBorder="1"/>
    <xf numFmtId="0" fontId="11" fillId="0" borderId="11" xfId="0" applyFont="1" applyBorder="1" applyAlignment="1">
      <alignment vertical="center"/>
    </xf>
    <xf numFmtId="0" fontId="11" fillId="0" borderId="10" xfId="0" applyFont="1" applyBorder="1" applyAlignment="1">
      <alignment vertical="center"/>
    </xf>
    <xf numFmtId="0" fontId="34" fillId="0" borderId="11" xfId="0" applyFont="1" applyBorder="1" applyAlignment="1">
      <alignment vertical="center"/>
    </xf>
    <xf numFmtId="0" fontId="34" fillId="0" borderId="0" xfId="0" applyFont="1" applyAlignment="1">
      <alignment vertical="center"/>
    </xf>
    <xf numFmtId="0" fontId="11" fillId="0" borderId="15" xfId="0" applyFont="1" applyBorder="1" applyAlignment="1">
      <alignment vertical="center"/>
    </xf>
    <xf numFmtId="181" fontId="11" fillId="0" borderId="15" xfId="28" applyNumberFormat="1" applyFont="1" applyBorder="1" applyAlignment="1">
      <alignment vertical="center"/>
    </xf>
    <xf numFmtId="181" fontId="34" fillId="0" borderId="15" xfId="28" applyNumberFormat="1" applyFont="1" applyBorder="1" applyAlignment="1">
      <alignment vertical="center"/>
    </xf>
    <xf numFmtId="181" fontId="34" fillId="0" borderId="14" xfId="0" applyNumberFormat="1" applyFont="1" applyBorder="1" applyAlignment="1">
      <alignment vertical="center"/>
    </xf>
    <xf numFmtId="0" fontId="35" fillId="0" borderId="0" xfId="0" applyFont="1" applyAlignment="1">
      <alignment vertical="center"/>
    </xf>
    <xf numFmtId="181" fontId="7" fillId="0" borderId="0" xfId="28" applyNumberFormat="1" applyFont="1" applyAlignment="1"/>
    <xf numFmtId="181" fontId="0" fillId="0" borderId="0" xfId="28" applyNumberFormat="1" applyFont="1" applyAlignment="1"/>
    <xf numFmtId="0" fontId="0" fillId="0" borderId="0" xfId="0" applyFont="1" applyAlignment="1"/>
    <xf numFmtId="0" fontId="34" fillId="0" borderId="0" xfId="0" applyFont="1" applyAlignment="1"/>
    <xf numFmtId="0" fontId="36" fillId="0" borderId="0" xfId="0" applyFont="1" applyAlignment="1"/>
    <xf numFmtId="0" fontId="0" fillId="33" borderId="0" xfId="0" applyFont="1" applyFill="1" applyAlignment="1"/>
    <xf numFmtId="0" fontId="34" fillId="33" borderId="0" xfId="0" applyFont="1" applyFill="1" applyAlignment="1"/>
    <xf numFmtId="181" fontId="10" fillId="0" borderId="13" xfId="28" applyNumberFormat="1" applyFont="1" applyBorder="1" applyAlignment="1">
      <alignment vertical="top" wrapText="1"/>
    </xf>
    <xf numFmtId="0" fontId="9" fillId="0" borderId="0" xfId="0" applyFont="1" applyAlignment="1"/>
    <xf numFmtId="181" fontId="9" fillId="0" borderId="0" xfId="28" applyNumberFormat="1" applyFont="1" applyAlignment="1"/>
    <xf numFmtId="181" fontId="32" fillId="0" borderId="0" xfId="28" applyNumberFormat="1" applyFont="1" applyAlignment="1"/>
    <xf numFmtId="0" fontId="32" fillId="0" borderId="0" xfId="0" applyFont="1" applyAlignment="1"/>
    <xf numFmtId="0" fontId="37" fillId="0" borderId="0" xfId="0" applyFont="1" applyAlignment="1"/>
    <xf numFmtId="181" fontId="2" fillId="0" borderId="0" xfId="28" applyNumberFormat="1" applyFont="1" applyAlignment="1"/>
    <xf numFmtId="181" fontId="8" fillId="0" borderId="0" xfId="28" applyNumberFormat="1" applyFont="1" applyAlignment="1"/>
    <xf numFmtId="0" fontId="1" fillId="0" borderId="0" xfId="0" applyFont="1" applyAlignment="1"/>
    <xf numFmtId="181" fontId="1" fillId="0" borderId="0" xfId="28" applyNumberFormat="1" applyFont="1" applyAlignment="1"/>
    <xf numFmtId="181" fontId="3" fillId="0" borderId="0" xfId="28" applyNumberFormat="1" applyFont="1" applyAlignment="1"/>
    <xf numFmtId="0" fontId="11" fillId="0" borderId="0" xfId="0" applyFont="1" applyAlignment="1"/>
    <xf numFmtId="0" fontId="11" fillId="0" borderId="10" xfId="0" applyFont="1" applyBorder="1" applyAlignment="1">
      <alignment horizontal="center" vertical="center"/>
    </xf>
    <xf numFmtId="181" fontId="11" fillId="0" borderId="10" xfId="28" applyNumberFormat="1" applyFont="1" applyBorder="1" applyAlignment="1">
      <alignment horizontal="center" vertical="center"/>
    </xf>
    <xf numFmtId="181" fontId="11" fillId="0" borderId="10" xfId="28" applyNumberFormat="1" applyFont="1" applyBorder="1" applyAlignment="1">
      <alignment horizontal="center" vertical="center" wrapText="1"/>
    </xf>
    <xf numFmtId="0" fontId="34" fillId="0" borderId="10" xfId="0" applyFont="1" applyBorder="1" applyAlignment="1">
      <alignment horizontal="center" vertical="center"/>
    </xf>
    <xf numFmtId="181" fontId="34" fillId="0" borderId="10" xfId="0" applyNumberFormat="1" applyFont="1" applyBorder="1" applyAlignment="1">
      <alignment horizontal="center" vertical="center"/>
    </xf>
    <xf numFmtId="171" fontId="34" fillId="0" borderId="10" xfId="0" applyNumberFormat="1" applyFont="1" applyBorder="1" applyAlignment="1">
      <alignment horizontal="center" vertical="center"/>
    </xf>
    <xf numFmtId="0" fontId="34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181" fontId="11" fillId="0" borderId="11" xfId="28" applyNumberFormat="1" applyFont="1" applyBorder="1" applyAlignment="1">
      <alignment horizontal="center" vertical="center"/>
    </xf>
    <xf numFmtId="181" fontId="34" fillId="0" borderId="11" xfId="28" applyNumberFormat="1" applyFont="1" applyBorder="1" applyAlignment="1">
      <alignment horizontal="center" vertical="center"/>
    </xf>
    <xf numFmtId="181" fontId="10" fillId="0" borderId="13" xfId="28" applyNumberFormat="1" applyFont="1" applyBorder="1" applyAlignment="1">
      <alignment vertical="center"/>
    </xf>
    <xf numFmtId="171" fontId="34" fillId="0" borderId="14" xfId="0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33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4" fillId="0" borderId="15" xfId="0" applyFont="1" applyBorder="1"/>
    <xf numFmtId="0" fontId="8" fillId="0" borderId="0" xfId="0" applyFont="1"/>
    <xf numFmtId="181" fontId="30" fillId="0" borderId="0" xfId="28" applyNumberFormat="1" applyFont="1" applyAlignment="1"/>
    <xf numFmtId="0" fontId="10" fillId="0" borderId="0" xfId="0" applyFont="1" applyAlignment="1">
      <alignment horizontal="center" vertical="center"/>
    </xf>
    <xf numFmtId="0" fontId="12" fillId="0" borderId="0" xfId="0" applyFont="1"/>
    <xf numFmtId="181" fontId="13" fillId="0" borderId="0" xfId="28" applyNumberFormat="1" applyFont="1"/>
    <xf numFmtId="0" fontId="7" fillId="33" borderId="0" xfId="0" applyFont="1" applyFill="1"/>
    <xf numFmtId="0" fontId="10" fillId="0" borderId="13" xfId="0" applyFont="1" applyBorder="1" applyAlignment="1">
      <alignment horizontal="center" vertical="center" textRotation="255"/>
    </xf>
    <xf numFmtId="0" fontId="8" fillId="0" borderId="0" xfId="0" applyFont="1" applyAlignment="1">
      <alignment horizontal="left"/>
    </xf>
    <xf numFmtId="0" fontId="10" fillId="0" borderId="17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 textRotation="255"/>
    </xf>
    <xf numFmtId="0" fontId="10" fillId="0" borderId="17" xfId="0" applyFont="1" applyBorder="1" applyAlignment="1">
      <alignment horizontal="center" vertical="center" wrapText="1"/>
    </xf>
    <xf numFmtId="181" fontId="10" fillId="0" borderId="17" xfId="28" applyNumberFormat="1" applyFont="1" applyBorder="1" applyAlignment="1">
      <alignment horizontal="center" vertical="center" wrapText="1"/>
    </xf>
    <xf numFmtId="0" fontId="14" fillId="0" borderId="0" xfId="0" applyFont="1"/>
    <xf numFmtId="0" fontId="7" fillId="0" borderId="21" xfId="0" applyFont="1" applyBorder="1"/>
    <xf numFmtId="0" fontId="8" fillId="0" borderId="21" xfId="0" applyFont="1" applyBorder="1"/>
    <xf numFmtId="181" fontId="0" fillId="0" borderId="21" xfId="28" applyNumberFormat="1" applyFont="1" applyBorder="1"/>
    <xf numFmtId="0" fontId="38" fillId="0" borderId="22" xfId="0" applyFont="1" applyBorder="1"/>
    <xf numFmtId="0" fontId="0" fillId="0" borderId="23" xfId="0" applyFont="1" applyBorder="1"/>
    <xf numFmtId="0" fontId="0" fillId="0" borderId="24" xfId="0" applyFont="1" applyBorder="1"/>
    <xf numFmtId="0" fontId="39" fillId="0" borderId="0" xfId="0" applyFont="1"/>
    <xf numFmtId="0" fontId="16" fillId="35" borderId="0" xfId="0" applyFont="1" applyFill="1"/>
    <xf numFmtId="0" fontId="15" fillId="0" borderId="0" xfId="0" applyFont="1" applyAlignment="1">
      <alignment horizontal="center"/>
    </xf>
    <xf numFmtId="181" fontId="8" fillId="34" borderId="18" xfId="28" applyNumberFormat="1" applyFont="1" applyFill="1" applyBorder="1" applyAlignment="1">
      <alignment horizontal="center" vertical="center" wrapText="1"/>
    </xf>
    <xf numFmtId="181" fontId="8" fillId="34" borderId="19" xfId="28" applyNumberFormat="1" applyFont="1" applyFill="1" applyBorder="1" applyAlignment="1">
      <alignment horizontal="center" vertical="center" wrapText="1"/>
    </xf>
    <xf numFmtId="181" fontId="8" fillId="34" borderId="20" xfId="28" applyNumberFormat="1" applyFont="1" applyFill="1" applyBorder="1" applyAlignment="1">
      <alignment horizontal="center" vertical="center" wrapText="1"/>
    </xf>
    <xf numFmtId="181" fontId="8" fillId="34" borderId="18" xfId="28" applyNumberFormat="1" applyFont="1" applyFill="1" applyBorder="1" applyAlignment="1">
      <alignment horizontal="center" vertical="center"/>
    </xf>
    <xf numFmtId="181" fontId="8" fillId="34" borderId="19" xfId="28" applyNumberFormat="1" applyFont="1" applyFill="1" applyBorder="1" applyAlignment="1">
      <alignment horizontal="center" vertical="center"/>
    </xf>
    <xf numFmtId="181" fontId="8" fillId="34" borderId="20" xfId="28" applyNumberFormat="1" applyFont="1" applyFill="1" applyBorder="1" applyAlignment="1">
      <alignment horizontal="center" vertical="center"/>
    </xf>
    <xf numFmtId="181" fontId="13" fillId="0" borderId="0" xfId="28" applyNumberFormat="1" applyFont="1" applyAlignment="1">
      <alignment horizontal="right"/>
    </xf>
    <xf numFmtId="0" fontId="13" fillId="33" borderId="16" xfId="0" applyFont="1" applyFill="1" applyBorder="1" applyAlignment="1">
      <alignment horizontal="right"/>
    </xf>
    <xf numFmtId="0" fontId="8" fillId="0" borderId="0" xfId="0" applyFont="1" applyAlignment="1">
      <alignment horizontal="center"/>
    </xf>
    <xf numFmtId="0" fontId="7" fillId="33" borderId="16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8" fillId="33" borderId="0" xfId="0" applyFont="1" applyFill="1" applyAlignment="1">
      <alignment horizontal="center"/>
    </xf>
    <xf numFmtId="0" fontId="15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3" fillId="0" borderId="0" xfId="0" applyFont="1" applyAlignment="1">
      <alignment horizontal="right"/>
    </xf>
  </cellXfs>
  <cellStyles count="47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Comma" xfId="28"/>
    <cellStyle name="Comma[0]" xfId="29"/>
    <cellStyle name="Currency" xfId="30"/>
    <cellStyle name="Currency[0]" xfId="31"/>
    <cellStyle name="Explanatory Text" xfId="32"/>
    <cellStyle name="Good" xfId="33"/>
    <cellStyle name="Heading 1" xfId="34"/>
    <cellStyle name="Heading 2" xfId="35"/>
    <cellStyle name="Heading 3" xfId="36"/>
    <cellStyle name="Heading 4" xfId="37"/>
    <cellStyle name="Input" xfId="38"/>
    <cellStyle name="Linked Cell" xfId="39"/>
    <cellStyle name="Neutral" xfId="40"/>
    <cellStyle name="Normal" xfId="0" builtinId="0"/>
    <cellStyle name="Note" xfId="41"/>
    <cellStyle name="Output" xfId="42"/>
    <cellStyle name="Percent" xfId="43"/>
    <cellStyle name="Title" xfId="44"/>
    <cellStyle name="Total" xfId="45"/>
    <cellStyle name="Warning Text" xfId="46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80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104775</xdr:rowOff>
    </xdr:from>
    <xdr:to>
      <xdr:col>1</xdr:col>
      <xdr:colOff>942975</xdr:colOff>
      <xdr:row>2</xdr:row>
      <xdr:rowOff>114300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47625</xdr:rowOff>
    </xdr:from>
    <xdr:to>
      <xdr:col>2</xdr:col>
      <xdr:colOff>914400</xdr:colOff>
      <xdr:row>0</xdr:row>
      <xdr:rowOff>47625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133350</xdr:colOff>
      <xdr:row>0</xdr:row>
      <xdr:rowOff>104775</xdr:rowOff>
    </xdr:from>
    <xdr:to>
      <xdr:col>3</xdr:col>
      <xdr:colOff>457200</xdr:colOff>
      <xdr:row>0</xdr:row>
      <xdr:rowOff>104775</xdr:rowOff>
    </xdr:to>
    <xdr:pic>
      <xdr:nvPicPr>
        <xdr:cNvPr id="3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57150</xdr:colOff>
      <xdr:row>0</xdr:row>
      <xdr:rowOff>95250</xdr:rowOff>
    </xdr:from>
    <xdr:to>
      <xdr:col>3</xdr:col>
      <xdr:colOff>371475</xdr:colOff>
      <xdr:row>0</xdr:row>
      <xdr:rowOff>95250</xdr:rowOff>
    </xdr:to>
    <xdr:pic>
      <xdr:nvPicPr>
        <xdr:cNvPr id="4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9525</xdr:colOff>
      <xdr:row>0</xdr:row>
      <xdr:rowOff>47625</xdr:rowOff>
    </xdr:from>
    <xdr:to>
      <xdr:col>3</xdr:col>
      <xdr:colOff>323850</xdr:colOff>
      <xdr:row>0</xdr:row>
      <xdr:rowOff>47625</xdr:rowOff>
    </xdr:to>
    <xdr:pic>
      <xdr:nvPicPr>
        <xdr:cNvPr id="5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9525</xdr:colOff>
      <xdr:row>0</xdr:row>
      <xdr:rowOff>47625</xdr:rowOff>
    </xdr:from>
    <xdr:to>
      <xdr:col>2</xdr:col>
      <xdr:colOff>914400</xdr:colOff>
      <xdr:row>0</xdr:row>
      <xdr:rowOff>47625</xdr:rowOff>
    </xdr:to>
    <xdr:pic>
      <xdr:nvPicPr>
        <xdr:cNvPr id="6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133350</xdr:colOff>
      <xdr:row>0</xdr:row>
      <xdr:rowOff>104775</xdr:rowOff>
    </xdr:from>
    <xdr:to>
      <xdr:col>3</xdr:col>
      <xdr:colOff>457200</xdr:colOff>
      <xdr:row>0</xdr:row>
      <xdr:rowOff>104775</xdr:rowOff>
    </xdr:to>
    <xdr:pic>
      <xdr:nvPicPr>
        <xdr:cNvPr id="7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57150</xdr:colOff>
      <xdr:row>0</xdr:row>
      <xdr:rowOff>95250</xdr:rowOff>
    </xdr:from>
    <xdr:to>
      <xdr:col>3</xdr:col>
      <xdr:colOff>371475</xdr:colOff>
      <xdr:row>0</xdr:row>
      <xdr:rowOff>95250</xdr:rowOff>
    </xdr:to>
    <xdr:pic>
      <xdr:nvPicPr>
        <xdr:cNvPr id="8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9525</xdr:colOff>
      <xdr:row>0</xdr:row>
      <xdr:rowOff>47625</xdr:rowOff>
    </xdr:from>
    <xdr:to>
      <xdr:col>3</xdr:col>
      <xdr:colOff>323850</xdr:colOff>
      <xdr:row>0</xdr:row>
      <xdr:rowOff>47625</xdr:rowOff>
    </xdr:to>
    <xdr:pic>
      <xdr:nvPicPr>
        <xdr:cNvPr id="9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685800</xdr:colOff>
      <xdr:row>1</xdr:row>
      <xdr:rowOff>171450</xdr:rowOff>
    </xdr:to>
    <xdr:pic>
      <xdr:nvPicPr>
        <xdr:cNvPr id="10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47625</xdr:rowOff>
    </xdr:from>
    <xdr:to>
      <xdr:col>4</xdr:col>
      <xdr:colOff>0</xdr:colOff>
      <xdr:row>0</xdr:row>
      <xdr:rowOff>47625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47625</xdr:rowOff>
    </xdr:from>
    <xdr:to>
      <xdr:col>3</xdr:col>
      <xdr:colOff>914400</xdr:colOff>
      <xdr:row>0</xdr:row>
      <xdr:rowOff>47625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28575</xdr:colOff>
      <xdr:row>0</xdr:row>
      <xdr:rowOff>114300</xdr:rowOff>
    </xdr:from>
    <xdr:to>
      <xdr:col>3</xdr:col>
      <xdr:colOff>752475</xdr:colOff>
      <xdr:row>0</xdr:row>
      <xdr:rowOff>114300</xdr:rowOff>
    </xdr:to>
    <xdr:pic>
      <xdr:nvPicPr>
        <xdr:cNvPr id="3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3</xdr:col>
      <xdr:colOff>733425</xdr:colOff>
      <xdr:row>3</xdr:row>
      <xdr:rowOff>9525</xdr:rowOff>
    </xdr:to>
    <xdr:pic>
      <xdr:nvPicPr>
        <xdr:cNvPr id="4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47625</xdr:rowOff>
    </xdr:from>
    <xdr:to>
      <xdr:col>3</xdr:col>
      <xdr:colOff>857250</xdr:colOff>
      <xdr:row>0</xdr:row>
      <xdr:rowOff>47625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28575</xdr:colOff>
      <xdr:row>0</xdr:row>
      <xdr:rowOff>114300</xdr:rowOff>
    </xdr:from>
    <xdr:to>
      <xdr:col>3</xdr:col>
      <xdr:colOff>695325</xdr:colOff>
      <xdr:row>2</xdr:row>
      <xdr:rowOff>123825</xdr:rowOff>
    </xdr:to>
    <xdr:pic>
      <xdr:nvPicPr>
        <xdr:cNvPr id="3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47625</xdr:rowOff>
    </xdr:from>
    <xdr:to>
      <xdr:col>2</xdr:col>
      <xdr:colOff>866775</xdr:colOff>
      <xdr:row>0</xdr:row>
      <xdr:rowOff>47625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133350</xdr:colOff>
      <xdr:row>0</xdr:row>
      <xdr:rowOff>104775</xdr:rowOff>
    </xdr:from>
    <xdr:to>
      <xdr:col>3</xdr:col>
      <xdr:colOff>438150</xdr:colOff>
      <xdr:row>0</xdr:row>
      <xdr:rowOff>104775</xdr:rowOff>
    </xdr:to>
    <xdr:pic>
      <xdr:nvPicPr>
        <xdr:cNvPr id="3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57150</xdr:colOff>
      <xdr:row>0</xdr:row>
      <xdr:rowOff>95250</xdr:rowOff>
    </xdr:from>
    <xdr:to>
      <xdr:col>3</xdr:col>
      <xdr:colOff>352425</xdr:colOff>
      <xdr:row>0</xdr:row>
      <xdr:rowOff>95250</xdr:rowOff>
    </xdr:to>
    <xdr:pic>
      <xdr:nvPicPr>
        <xdr:cNvPr id="4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9525</xdr:colOff>
      <xdr:row>0</xdr:row>
      <xdr:rowOff>47625</xdr:rowOff>
    </xdr:from>
    <xdr:to>
      <xdr:col>3</xdr:col>
      <xdr:colOff>304800</xdr:colOff>
      <xdr:row>0</xdr:row>
      <xdr:rowOff>47625</xdr:rowOff>
    </xdr:to>
    <xdr:pic>
      <xdr:nvPicPr>
        <xdr:cNvPr id="5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9525</xdr:colOff>
      <xdr:row>0</xdr:row>
      <xdr:rowOff>47625</xdr:rowOff>
    </xdr:from>
    <xdr:to>
      <xdr:col>2</xdr:col>
      <xdr:colOff>866775</xdr:colOff>
      <xdr:row>0</xdr:row>
      <xdr:rowOff>47625</xdr:rowOff>
    </xdr:to>
    <xdr:pic>
      <xdr:nvPicPr>
        <xdr:cNvPr id="6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133350</xdr:colOff>
      <xdr:row>0</xdr:row>
      <xdr:rowOff>104775</xdr:rowOff>
    </xdr:from>
    <xdr:to>
      <xdr:col>3</xdr:col>
      <xdr:colOff>438150</xdr:colOff>
      <xdr:row>0</xdr:row>
      <xdr:rowOff>104775</xdr:rowOff>
    </xdr:to>
    <xdr:pic>
      <xdr:nvPicPr>
        <xdr:cNvPr id="7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57150</xdr:colOff>
      <xdr:row>0</xdr:row>
      <xdr:rowOff>95250</xdr:rowOff>
    </xdr:from>
    <xdr:to>
      <xdr:col>3</xdr:col>
      <xdr:colOff>352425</xdr:colOff>
      <xdr:row>0</xdr:row>
      <xdr:rowOff>95250</xdr:rowOff>
    </xdr:to>
    <xdr:pic>
      <xdr:nvPicPr>
        <xdr:cNvPr id="8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9525</xdr:colOff>
      <xdr:row>0</xdr:row>
      <xdr:rowOff>47625</xdr:rowOff>
    </xdr:from>
    <xdr:to>
      <xdr:col>3</xdr:col>
      <xdr:colOff>304800</xdr:colOff>
      <xdr:row>0</xdr:row>
      <xdr:rowOff>47625</xdr:rowOff>
    </xdr:to>
    <xdr:pic>
      <xdr:nvPicPr>
        <xdr:cNvPr id="9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638175</xdr:colOff>
      <xdr:row>1</xdr:row>
      <xdr:rowOff>171450</xdr:rowOff>
    </xdr:to>
    <xdr:pic>
      <xdr:nvPicPr>
        <xdr:cNvPr id="10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?? ??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?? ??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AC390"/>
  <sheetViews>
    <sheetView workbookViewId="0">
      <selection activeCell="X7" sqref="X7:X15"/>
    </sheetView>
  </sheetViews>
  <sheetFormatPr defaultRowHeight="15" x14ac:dyDescent="0.25"/>
  <cols>
    <col min="1" max="1" width="9.140625" style="6" customWidth="1"/>
    <col min="2" max="2" width="37.85546875" style="6" customWidth="1"/>
    <col min="3" max="3" width="12.5703125" style="6" customWidth="1"/>
    <col min="4" max="4" width="21.7109375" style="6" customWidth="1"/>
    <col min="5" max="5" width="14.85546875" style="6" customWidth="1"/>
    <col min="6" max="6" width="34.5703125" style="6" customWidth="1"/>
    <col min="7" max="9" width="12.140625" style="6" customWidth="1"/>
    <col min="10" max="10" width="11.7109375" customWidth="1"/>
    <col min="11" max="11" width="13.7109375" style="18" customWidth="1"/>
    <col min="12" max="15" width="18" style="18" customWidth="1"/>
    <col min="16" max="16" width="12.85546875" style="18" customWidth="1"/>
    <col min="17" max="18" width="11.42578125" customWidth="1"/>
    <col min="19" max="19" width="14.7109375" customWidth="1"/>
    <col min="20" max="20" width="14.140625" customWidth="1"/>
    <col min="21" max="21" width="13.7109375" customWidth="1"/>
    <col min="22" max="24" width="15" style="18" customWidth="1"/>
    <col min="25" max="25" width="11.7109375" style="18" customWidth="1"/>
    <col min="26" max="26" width="10.5703125" style="18" customWidth="1"/>
    <col min="27" max="27" width="11.140625" style="18" customWidth="1"/>
    <col min="28" max="28" width="15.7109375" style="18" customWidth="1"/>
    <col min="29" max="29" width="22.7109375" customWidth="1"/>
  </cols>
  <sheetData>
    <row r="4" spans="1:29" ht="20.25" customHeight="1" x14ac:dyDescent="0.3">
      <c r="A4" s="149" t="s">
        <v>43</v>
      </c>
      <c r="B4" s="149"/>
      <c r="C4" s="149"/>
      <c r="D4" s="149"/>
      <c r="E4" s="149"/>
      <c r="F4" s="149"/>
      <c r="G4" s="149"/>
      <c r="H4" s="149"/>
      <c r="I4" s="149"/>
      <c r="J4" s="149"/>
    </row>
    <row r="5" spans="1:29" ht="20.25" customHeight="1" x14ac:dyDescent="0.25">
      <c r="A5" s="6" t="s">
        <v>14</v>
      </c>
      <c r="K5" s="150" t="s">
        <v>20</v>
      </c>
      <c r="L5" s="151"/>
      <c r="M5" s="151"/>
      <c r="N5" s="151"/>
      <c r="O5" s="151"/>
      <c r="P5" s="152"/>
      <c r="V5" s="153" t="s">
        <v>50</v>
      </c>
      <c r="W5" s="154"/>
      <c r="X5" s="154"/>
      <c r="Y5" s="154"/>
      <c r="Z5" s="154"/>
      <c r="AA5" s="155"/>
    </row>
    <row r="6" spans="1:29" s="11" customFormat="1" ht="43.5" customHeight="1" x14ac:dyDescent="0.25">
      <c r="A6" s="7" t="s">
        <v>4</v>
      </c>
      <c r="B6" s="8" t="s">
        <v>63</v>
      </c>
      <c r="C6" s="8" t="s">
        <v>26</v>
      </c>
      <c r="D6" s="7" t="s">
        <v>33</v>
      </c>
      <c r="E6" s="7" t="s">
        <v>39</v>
      </c>
      <c r="F6" s="7" t="s">
        <v>1</v>
      </c>
      <c r="G6" s="7" t="s">
        <v>71</v>
      </c>
      <c r="H6" s="7" t="s">
        <v>37</v>
      </c>
      <c r="I6" s="7" t="s">
        <v>49</v>
      </c>
      <c r="J6" s="7" t="s">
        <v>19</v>
      </c>
      <c r="K6" s="19" t="s">
        <v>28</v>
      </c>
      <c r="L6" s="19" t="s">
        <v>6</v>
      </c>
      <c r="M6" s="19" t="s">
        <v>72</v>
      </c>
      <c r="N6" s="19" t="s">
        <v>73</v>
      </c>
      <c r="O6" s="19" t="s">
        <v>74</v>
      </c>
      <c r="P6" s="19" t="s">
        <v>24</v>
      </c>
      <c r="Q6" s="8" t="s">
        <v>45</v>
      </c>
      <c r="R6" s="8" t="s">
        <v>40</v>
      </c>
      <c r="S6" s="8" t="s">
        <v>27</v>
      </c>
      <c r="T6" s="8" t="s">
        <v>79</v>
      </c>
      <c r="U6" s="8" t="s">
        <v>41</v>
      </c>
      <c r="V6" s="19" t="s">
        <v>70</v>
      </c>
      <c r="W6" s="19" t="s">
        <v>68</v>
      </c>
      <c r="X6" s="19" t="s">
        <v>66</v>
      </c>
      <c r="Y6" s="19" t="s">
        <v>46</v>
      </c>
      <c r="Z6" s="19" t="s">
        <v>8</v>
      </c>
      <c r="AA6" s="19" t="s">
        <v>10</v>
      </c>
      <c r="AB6" s="24" t="s">
        <v>58</v>
      </c>
      <c r="AC6" s="17" t="s">
        <v>0</v>
      </c>
    </row>
    <row r="7" spans="1:29" s="11" customFormat="1" ht="21" customHeight="1" x14ac:dyDescent="0.25">
      <c r="A7" s="12"/>
      <c r="B7" s="13"/>
      <c r="C7" s="13"/>
      <c r="D7" s="12"/>
      <c r="E7" s="12"/>
      <c r="F7" s="12"/>
      <c r="G7" s="12"/>
      <c r="H7" s="12"/>
      <c r="I7" s="12"/>
      <c r="J7" s="12"/>
      <c r="K7" s="20">
        <v>30000000</v>
      </c>
      <c r="L7" s="21">
        <v>20000000</v>
      </c>
      <c r="M7" s="21">
        <v>123456456</v>
      </c>
      <c r="N7" s="21">
        <v>256568841</v>
      </c>
      <c r="O7" s="21">
        <v>2569800</v>
      </c>
      <c r="P7" s="21">
        <f>ROUND(M7+N7+O7,-3)</f>
        <v>382595000</v>
      </c>
      <c r="Q7" s="16">
        <v>1</v>
      </c>
      <c r="R7" s="16" t="str">
        <f>IF(Q7&gt;0,"6%")</f>
        <v>6%</v>
      </c>
      <c r="S7" s="16" t="b">
        <f>IF(K7/P7&gt;=45%,"2%")</f>
        <v>0</v>
      </c>
      <c r="T7" s="16" t="b">
        <f>IF(L7/P7&gt;=0.25,"3%",IF(L7/P7&gt;=0.15,"2%"))</f>
        <v>0</v>
      </c>
      <c r="U7" s="16" t="str">
        <f>IF(Q7=1,"0.5%",IF(Q7=2,"1%",IF(Q7=3,"2%")))</f>
        <v>0.5%</v>
      </c>
      <c r="V7" s="21">
        <f>ROUND(M7*R7,-3)</f>
        <v>7407000</v>
      </c>
      <c r="W7" s="21">
        <f>ROUND(N7*6%,-3)</f>
        <v>15394000</v>
      </c>
      <c r="X7" s="21">
        <f>ROUND(O7*6%,-3)</f>
        <v>154000</v>
      </c>
      <c r="Y7" s="21">
        <f>ROUND(P7*S7,-3)</f>
        <v>0</v>
      </c>
      <c r="Z7" s="21">
        <f>ROUND(P7*T7,-3)</f>
        <v>0</v>
      </c>
      <c r="AA7" s="25">
        <f>ROUND(P7*U7,-3)</f>
        <v>1913000</v>
      </c>
      <c r="AB7" s="25">
        <f>V7+Y7+Z7+AA7</f>
        <v>9320000</v>
      </c>
    </row>
    <row r="8" spans="1:29" ht="20.100000000000001" customHeight="1" x14ac:dyDescent="0.25">
      <c r="A8" s="1">
        <v>1</v>
      </c>
      <c r="B8" s="1" t="s">
        <v>18</v>
      </c>
      <c r="C8" s="1" t="s">
        <v>34</v>
      </c>
      <c r="D8" s="2" t="s">
        <v>31</v>
      </c>
      <c r="E8" s="1" t="s">
        <v>76</v>
      </c>
      <c r="F8" s="1"/>
      <c r="G8" s="1">
        <v>123456789</v>
      </c>
      <c r="H8" s="9">
        <v>36035</v>
      </c>
      <c r="I8" s="1">
        <v>8</v>
      </c>
      <c r="J8" s="1" t="s">
        <v>44</v>
      </c>
      <c r="K8" s="22">
        <v>10000000</v>
      </c>
      <c r="L8" s="21">
        <v>20000000</v>
      </c>
      <c r="M8" s="21">
        <v>3456767</v>
      </c>
      <c r="N8" s="21">
        <v>64756565</v>
      </c>
      <c r="O8" s="21">
        <v>8989878</v>
      </c>
      <c r="P8" s="21">
        <f t="shared" ref="P8:P17" si="0">ROUND(M8+N8+O8,-3)</f>
        <v>77203000</v>
      </c>
      <c r="Q8" s="14">
        <v>3</v>
      </c>
      <c r="R8" s="16" t="str">
        <f>IF(Q8&gt;0,"6%")</f>
        <v>6%</v>
      </c>
      <c r="S8" s="16" t="b">
        <f t="shared" ref="S8:S15" si="1">IF(K8/P8&gt;=45%,"2%")</f>
        <v>0</v>
      </c>
      <c r="T8" s="16" t="str">
        <f t="shared" ref="T8:T14" si="2">IF(L8/P8&gt;=0.25,"3%",IF(L8/P8&gt;=0.15,"2%"))</f>
        <v>3%</v>
      </c>
      <c r="U8" s="16" t="str">
        <f t="shared" ref="U8:U15" si="3">IF(Q8=1,"0.5%",IF(Q8=2,"1%",IF(Q8=3,"2%")))</f>
        <v>2%</v>
      </c>
      <c r="V8" s="21">
        <f t="shared" ref="V8:V15" si="4">ROUND(M8*R8,-3)</f>
        <v>207000</v>
      </c>
      <c r="W8" s="21">
        <f t="shared" ref="W8:W15" si="5">ROUND(N8*6%,-3)</f>
        <v>3885000</v>
      </c>
      <c r="X8" s="21">
        <f t="shared" ref="X8:X15" si="6">ROUND(O8*6%,-3)</f>
        <v>539000</v>
      </c>
      <c r="Y8" s="21">
        <f t="shared" ref="Y8:Y15" si="7">P8*S8</f>
        <v>0</v>
      </c>
      <c r="Z8" s="21">
        <f t="shared" ref="Z8:Z15" si="8">ROUND(P8*T8,-3)</f>
        <v>2316000</v>
      </c>
      <c r="AA8" s="25">
        <f t="shared" ref="AA8:AA15" si="9">ROUND(P8*U8,-3)</f>
        <v>1544000</v>
      </c>
      <c r="AB8" s="25">
        <f t="shared" ref="AB8:AB15" si="10">V8+Y8+Z8+AA8</f>
        <v>4067000</v>
      </c>
    </row>
    <row r="9" spans="1:29" ht="20.100000000000001" customHeight="1" x14ac:dyDescent="0.25">
      <c r="A9" s="3">
        <v>2</v>
      </c>
      <c r="B9" s="3" t="s">
        <v>67</v>
      </c>
      <c r="C9" s="3" t="s">
        <v>64</v>
      </c>
      <c r="D9" s="4" t="s">
        <v>9</v>
      </c>
      <c r="E9" s="3" t="s">
        <v>75</v>
      </c>
      <c r="F9" s="3"/>
      <c r="G9" s="3">
        <v>973638463</v>
      </c>
      <c r="H9" s="10">
        <v>32025</v>
      </c>
      <c r="I9" s="3">
        <v>9</v>
      </c>
      <c r="J9" s="3" t="s">
        <v>44</v>
      </c>
      <c r="K9" s="22">
        <v>1000000</v>
      </c>
      <c r="L9" s="21">
        <v>20000000</v>
      </c>
      <c r="M9" s="21">
        <v>43656565</v>
      </c>
      <c r="N9" s="21">
        <v>4564566</v>
      </c>
      <c r="O9" s="21">
        <v>56834147</v>
      </c>
      <c r="P9" s="21">
        <f t="shared" si="0"/>
        <v>105055000</v>
      </c>
      <c r="Q9" s="14">
        <v>0</v>
      </c>
      <c r="R9" s="16" t="b">
        <f>IF(Q9&gt;0,"6%")</f>
        <v>0</v>
      </c>
      <c r="S9" s="16" t="b">
        <f t="shared" si="1"/>
        <v>0</v>
      </c>
      <c r="T9" s="16" t="str">
        <f t="shared" si="2"/>
        <v>2%</v>
      </c>
      <c r="U9" s="16" t="b">
        <f t="shared" si="3"/>
        <v>0</v>
      </c>
      <c r="V9" s="21">
        <f t="shared" si="4"/>
        <v>0</v>
      </c>
      <c r="W9" s="21">
        <f t="shared" si="5"/>
        <v>274000</v>
      </c>
      <c r="X9" s="21">
        <f t="shared" si="6"/>
        <v>3410000</v>
      </c>
      <c r="Y9" s="21">
        <f t="shared" si="7"/>
        <v>0</v>
      </c>
      <c r="Z9" s="21">
        <f t="shared" si="8"/>
        <v>2101000</v>
      </c>
      <c r="AA9" s="25">
        <f t="shared" si="9"/>
        <v>0</v>
      </c>
      <c r="AB9" s="25">
        <f t="shared" si="10"/>
        <v>2101000</v>
      </c>
    </row>
    <row r="10" spans="1:29" ht="20.100000000000001" customHeight="1" x14ac:dyDescent="0.25">
      <c r="A10" s="141"/>
      <c r="B10" s="141"/>
      <c r="C10" s="141"/>
      <c r="D10" s="142" t="s">
        <v>38</v>
      </c>
      <c r="E10" s="141"/>
      <c r="F10" s="141"/>
      <c r="G10" s="141"/>
      <c r="H10" s="141"/>
      <c r="I10" s="141"/>
      <c r="J10" s="141"/>
      <c r="K10" s="143">
        <v>324000</v>
      </c>
      <c r="L10" s="21">
        <v>1320000</v>
      </c>
      <c r="M10" s="21">
        <v>54645654</v>
      </c>
      <c r="N10" s="21">
        <v>234243</v>
      </c>
      <c r="O10" s="21">
        <v>78769898</v>
      </c>
      <c r="P10" s="21">
        <f t="shared" si="0"/>
        <v>133650000</v>
      </c>
      <c r="Q10" s="14">
        <v>0</v>
      </c>
      <c r="R10" s="16" t="b">
        <f>IF(Q10&gt;0,"6%")</f>
        <v>0</v>
      </c>
      <c r="S10" s="16" t="b">
        <f t="shared" si="1"/>
        <v>0</v>
      </c>
      <c r="T10" s="16" t="b">
        <f t="shared" si="2"/>
        <v>0</v>
      </c>
      <c r="U10" s="16" t="b">
        <f t="shared" si="3"/>
        <v>0</v>
      </c>
      <c r="V10" s="21">
        <f t="shared" si="4"/>
        <v>0</v>
      </c>
      <c r="W10" s="21">
        <f t="shared" si="5"/>
        <v>14000</v>
      </c>
      <c r="X10" s="21">
        <f t="shared" si="6"/>
        <v>4726000</v>
      </c>
      <c r="Y10" s="21">
        <f t="shared" si="7"/>
        <v>0</v>
      </c>
      <c r="Z10" s="21">
        <f t="shared" si="8"/>
        <v>0</v>
      </c>
      <c r="AA10" s="25">
        <f t="shared" si="9"/>
        <v>0</v>
      </c>
      <c r="AB10" s="25">
        <f t="shared" si="10"/>
        <v>0</v>
      </c>
    </row>
    <row r="11" spans="1:29" ht="20.100000000000001" customHeight="1" x14ac:dyDescent="0.25">
      <c r="A11" s="141"/>
      <c r="B11" s="141"/>
      <c r="C11" s="141"/>
      <c r="D11" s="142" t="s">
        <v>25</v>
      </c>
      <c r="E11" s="141"/>
      <c r="F11" s="141"/>
      <c r="G11" s="141"/>
      <c r="H11" s="141"/>
      <c r="I11" s="141"/>
      <c r="J11" s="141"/>
      <c r="K11" s="143">
        <v>87686000</v>
      </c>
      <c r="L11" s="21">
        <v>3000000</v>
      </c>
      <c r="M11" s="21">
        <v>1234345</v>
      </c>
      <c r="N11" s="21">
        <v>6764349</v>
      </c>
      <c r="O11" s="21">
        <v>23598756</v>
      </c>
      <c r="P11" s="21">
        <f t="shared" si="0"/>
        <v>31597000</v>
      </c>
      <c r="Q11" s="14">
        <v>2</v>
      </c>
      <c r="R11" s="16" t="str">
        <f>IF(Q11&gt;0,"6%",IF(Q11=0,"Không đạt"))</f>
        <v>6%</v>
      </c>
      <c r="S11" s="16" t="str">
        <f t="shared" si="1"/>
        <v>2%</v>
      </c>
      <c r="T11" s="16" t="b">
        <f t="shared" si="2"/>
        <v>0</v>
      </c>
      <c r="U11" s="16" t="str">
        <f t="shared" si="3"/>
        <v>1%</v>
      </c>
      <c r="V11" s="21">
        <f t="shared" si="4"/>
        <v>74000</v>
      </c>
      <c r="W11" s="21">
        <f t="shared" si="5"/>
        <v>406000</v>
      </c>
      <c r="X11" s="21">
        <f t="shared" si="6"/>
        <v>1416000</v>
      </c>
      <c r="Y11" s="21">
        <f t="shared" si="7"/>
        <v>631940</v>
      </c>
      <c r="Z11" s="21">
        <f t="shared" si="8"/>
        <v>0</v>
      </c>
      <c r="AA11" s="25">
        <f t="shared" si="9"/>
        <v>316000</v>
      </c>
      <c r="AB11" s="25">
        <f t="shared" si="10"/>
        <v>1021940</v>
      </c>
    </row>
    <row r="12" spans="1:29" ht="20.100000000000001" customHeight="1" x14ac:dyDescent="0.25">
      <c r="A12" s="141"/>
      <c r="B12" s="141"/>
      <c r="C12" s="141"/>
      <c r="D12" s="141"/>
      <c r="E12" s="141"/>
      <c r="F12" s="141"/>
      <c r="G12" s="141"/>
      <c r="H12" s="141"/>
      <c r="I12" s="141"/>
      <c r="J12" s="141"/>
      <c r="K12" s="143">
        <v>767000</v>
      </c>
      <c r="L12" s="21">
        <v>5000000</v>
      </c>
      <c r="M12" s="21">
        <v>23447689</v>
      </c>
      <c r="N12" s="21">
        <v>78890906</v>
      </c>
      <c r="O12" s="21">
        <v>45479753</v>
      </c>
      <c r="P12" s="21">
        <f t="shared" si="0"/>
        <v>147818000</v>
      </c>
      <c r="Q12" s="14">
        <v>3</v>
      </c>
      <c r="R12" s="16" t="str">
        <f>IF(Q12&gt;0,"6%",IF(Q12=0,"Không đạt"))</f>
        <v>6%</v>
      </c>
      <c r="S12" s="16" t="b">
        <f t="shared" si="1"/>
        <v>0</v>
      </c>
      <c r="T12" s="16" t="b">
        <f t="shared" si="2"/>
        <v>0</v>
      </c>
      <c r="U12" s="16" t="str">
        <f t="shared" si="3"/>
        <v>2%</v>
      </c>
      <c r="V12" s="21">
        <f t="shared" si="4"/>
        <v>1407000</v>
      </c>
      <c r="W12" s="21">
        <f t="shared" si="5"/>
        <v>4733000</v>
      </c>
      <c r="X12" s="21">
        <f t="shared" si="6"/>
        <v>2729000</v>
      </c>
      <c r="Y12" s="21">
        <f t="shared" si="7"/>
        <v>0</v>
      </c>
      <c r="Z12" s="21">
        <f t="shared" si="8"/>
        <v>0</v>
      </c>
      <c r="AA12" s="25">
        <f t="shared" si="9"/>
        <v>2956000</v>
      </c>
      <c r="AB12" s="25">
        <f t="shared" si="10"/>
        <v>4363000</v>
      </c>
    </row>
    <row r="13" spans="1:29" ht="20.100000000000001" customHeight="1" x14ac:dyDescent="0.25">
      <c r="A13" s="141"/>
      <c r="B13" s="141"/>
      <c r="C13" s="141"/>
      <c r="D13" s="141"/>
      <c r="E13" s="141"/>
      <c r="F13" s="141"/>
      <c r="G13" s="141"/>
      <c r="H13" s="141"/>
      <c r="I13" s="141"/>
      <c r="J13" s="141"/>
      <c r="K13" s="143">
        <v>4534000</v>
      </c>
      <c r="L13" s="21">
        <v>10000000</v>
      </c>
      <c r="M13" s="21">
        <v>234546587</v>
      </c>
      <c r="N13" s="21">
        <v>809078</v>
      </c>
      <c r="O13" s="21">
        <v>786456</v>
      </c>
      <c r="P13" s="21">
        <f t="shared" si="0"/>
        <v>236142000</v>
      </c>
      <c r="Q13" s="14">
        <v>1</v>
      </c>
      <c r="R13" s="16" t="str">
        <f>IF(Q13&gt;0,"6%",IF(Q13=0,"Không đạt"))</f>
        <v>6%</v>
      </c>
      <c r="S13" s="16" t="b">
        <f t="shared" si="1"/>
        <v>0</v>
      </c>
      <c r="T13" s="16" t="b">
        <f t="shared" si="2"/>
        <v>0</v>
      </c>
      <c r="U13" s="16" t="str">
        <f t="shared" si="3"/>
        <v>0.5%</v>
      </c>
      <c r="V13" s="21">
        <f t="shared" si="4"/>
        <v>14073000</v>
      </c>
      <c r="W13" s="21">
        <f t="shared" si="5"/>
        <v>49000</v>
      </c>
      <c r="X13" s="21">
        <f t="shared" si="6"/>
        <v>47000</v>
      </c>
      <c r="Y13" s="21">
        <f t="shared" si="7"/>
        <v>0</v>
      </c>
      <c r="Z13" s="21">
        <f t="shared" si="8"/>
        <v>0</v>
      </c>
      <c r="AA13" s="25">
        <f t="shared" si="9"/>
        <v>1181000</v>
      </c>
      <c r="AB13" s="25">
        <f t="shared" si="10"/>
        <v>15254000</v>
      </c>
    </row>
    <row r="14" spans="1:29" ht="20.100000000000001" customHeight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22">
        <v>2345000</v>
      </c>
      <c r="L14" s="21">
        <v>10000000</v>
      </c>
      <c r="M14" s="21">
        <v>345465</v>
      </c>
      <c r="N14" s="21">
        <v>789989</v>
      </c>
      <c r="O14" s="21">
        <v>980909</v>
      </c>
      <c r="P14" s="21">
        <f t="shared" si="0"/>
        <v>2116000</v>
      </c>
      <c r="Q14" s="14">
        <v>3</v>
      </c>
      <c r="R14" s="16" t="str">
        <f>IF(Q14&gt;0,"6%",IF(Q14=0,"Không đạt"))</f>
        <v>6%</v>
      </c>
      <c r="S14" s="16" t="str">
        <f t="shared" si="1"/>
        <v>2%</v>
      </c>
      <c r="T14" s="16" t="str">
        <f t="shared" si="2"/>
        <v>3%</v>
      </c>
      <c r="U14" s="16" t="str">
        <f t="shared" si="3"/>
        <v>2%</v>
      </c>
      <c r="V14" s="21">
        <f t="shared" si="4"/>
        <v>21000</v>
      </c>
      <c r="W14" s="21">
        <f t="shared" si="5"/>
        <v>47000</v>
      </c>
      <c r="X14" s="21">
        <f t="shared" si="6"/>
        <v>59000</v>
      </c>
      <c r="Y14" s="21">
        <f t="shared" si="7"/>
        <v>42320</v>
      </c>
      <c r="Z14" s="21">
        <f t="shared" si="8"/>
        <v>63000</v>
      </c>
      <c r="AA14" s="25">
        <f t="shared" si="9"/>
        <v>42000</v>
      </c>
      <c r="AB14" s="25">
        <f t="shared" si="10"/>
        <v>168320</v>
      </c>
    </row>
    <row r="15" spans="1:29" ht="20.100000000000001" customHeight="1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22">
        <v>234400</v>
      </c>
      <c r="L15" s="21">
        <v>5000000</v>
      </c>
      <c r="M15" s="21">
        <v>4565676</v>
      </c>
      <c r="N15" s="21">
        <v>676879</v>
      </c>
      <c r="O15" s="21">
        <v>5657676</v>
      </c>
      <c r="P15" s="21">
        <f t="shared" si="0"/>
        <v>10900000</v>
      </c>
      <c r="Q15" s="14">
        <v>2</v>
      </c>
      <c r="R15" s="16" t="str">
        <f>IF(Q15&gt;0,"6%",IF(Q15=0,"Không đạt"))</f>
        <v>6%</v>
      </c>
      <c r="S15" s="16" t="b">
        <f t="shared" si="1"/>
        <v>0</v>
      </c>
      <c r="T15" s="16" t="str">
        <f>IF(L15/P15&gt;=0.25,"3%",IF(L15/P15&gt;=0.15,"2%",IF(L15/P15&lt;0.15,"FALSE")))</f>
        <v>3%</v>
      </c>
      <c r="U15" s="16" t="str">
        <f t="shared" si="3"/>
        <v>1%</v>
      </c>
      <c r="V15" s="21">
        <f t="shared" si="4"/>
        <v>274000</v>
      </c>
      <c r="W15" s="21">
        <f t="shared" si="5"/>
        <v>41000</v>
      </c>
      <c r="X15" s="21">
        <f t="shared" si="6"/>
        <v>339000</v>
      </c>
      <c r="Y15" s="21">
        <f t="shared" si="7"/>
        <v>0</v>
      </c>
      <c r="Z15" s="21">
        <f t="shared" si="8"/>
        <v>327000</v>
      </c>
      <c r="AA15" s="25">
        <f t="shared" si="9"/>
        <v>109000</v>
      </c>
      <c r="AB15" s="25">
        <f t="shared" si="10"/>
        <v>710000</v>
      </c>
    </row>
    <row r="16" spans="1:29" ht="20.100000000000001" customHeight="1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22"/>
      <c r="L16" s="22"/>
      <c r="M16" s="22"/>
      <c r="N16" s="22"/>
      <c r="O16" s="22"/>
      <c r="P16" s="21">
        <f t="shared" si="0"/>
        <v>0</v>
      </c>
      <c r="Q16" s="14"/>
      <c r="R16" s="14"/>
      <c r="S16" s="14"/>
      <c r="T16" s="14"/>
      <c r="U16" s="14"/>
      <c r="V16" s="22"/>
      <c r="W16" s="22"/>
      <c r="X16" s="22"/>
      <c r="Y16" s="22"/>
      <c r="Z16" s="22"/>
      <c r="AA16" s="22"/>
      <c r="AB16" s="22"/>
    </row>
    <row r="17" spans="1:28" ht="20.100000000000001" customHeight="1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22"/>
      <c r="L17" s="22"/>
      <c r="M17" s="22"/>
      <c r="N17" s="22"/>
      <c r="O17" s="22"/>
      <c r="P17" s="21">
        <f t="shared" si="0"/>
        <v>0</v>
      </c>
      <c r="Q17" s="14"/>
      <c r="R17" s="14"/>
      <c r="S17" s="14"/>
      <c r="T17" s="14"/>
      <c r="U17" s="14"/>
      <c r="V17" s="22"/>
      <c r="W17" s="22"/>
      <c r="X17" s="22"/>
      <c r="Y17" s="22"/>
      <c r="Z17" s="22"/>
      <c r="AA17" s="22"/>
      <c r="AB17" s="22"/>
    </row>
    <row r="18" spans="1:28" ht="20.100000000000001" customHeight="1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22"/>
      <c r="L18" s="22"/>
      <c r="M18" s="22"/>
      <c r="N18" s="22"/>
      <c r="O18" s="22"/>
      <c r="P18" s="22"/>
      <c r="Q18" s="14"/>
      <c r="R18" s="14"/>
      <c r="S18" s="14"/>
      <c r="T18" s="14"/>
      <c r="U18" s="14"/>
      <c r="V18" s="22"/>
      <c r="W18" s="22"/>
      <c r="X18" s="22"/>
      <c r="Y18" s="22"/>
      <c r="Z18" s="22"/>
      <c r="AA18" s="22"/>
      <c r="AB18" s="22"/>
    </row>
    <row r="19" spans="1:28" ht="20.100000000000001" customHeight="1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22"/>
      <c r="L19" s="22"/>
      <c r="M19" s="22"/>
      <c r="N19" s="22"/>
      <c r="O19" s="22"/>
      <c r="P19" s="22"/>
      <c r="Q19" s="14"/>
      <c r="R19" s="14"/>
      <c r="S19" s="14"/>
      <c r="T19" s="14"/>
      <c r="U19" s="14"/>
      <c r="V19" s="22"/>
      <c r="W19" s="22"/>
      <c r="X19" s="22"/>
      <c r="Y19" s="22"/>
      <c r="Z19" s="22"/>
      <c r="AA19" s="22"/>
      <c r="AB19" s="22"/>
    </row>
    <row r="20" spans="1:28" ht="20.100000000000001" customHeight="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22"/>
      <c r="L20" s="22"/>
      <c r="M20" s="22"/>
      <c r="N20" s="22"/>
      <c r="O20" s="22"/>
      <c r="P20" s="22"/>
      <c r="Q20" s="14"/>
      <c r="R20" s="14"/>
      <c r="S20" s="14"/>
      <c r="T20" s="14"/>
      <c r="U20" s="14"/>
      <c r="V20" s="22"/>
      <c r="W20" s="22"/>
      <c r="X20" s="22"/>
      <c r="Y20" s="22"/>
      <c r="Z20" s="22"/>
      <c r="AA20" s="22"/>
      <c r="AB20" s="22"/>
    </row>
    <row r="21" spans="1:28" ht="20.100000000000001" customHeight="1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22"/>
      <c r="L21" s="22"/>
      <c r="M21" s="22"/>
      <c r="N21" s="22"/>
      <c r="O21" s="22"/>
      <c r="P21" s="22"/>
      <c r="Q21" s="14"/>
      <c r="R21" s="14"/>
      <c r="S21" s="14"/>
      <c r="T21" s="14"/>
      <c r="U21" s="14"/>
      <c r="V21" s="22"/>
      <c r="W21" s="22"/>
      <c r="X21" s="22"/>
      <c r="Y21" s="22"/>
      <c r="Z21" s="22"/>
      <c r="AA21" s="22"/>
      <c r="AB21" s="22"/>
    </row>
    <row r="22" spans="1:28" ht="20.100000000000001" customHeight="1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22"/>
      <c r="L22" s="22"/>
      <c r="M22" s="22"/>
      <c r="N22" s="22"/>
      <c r="O22" s="22"/>
      <c r="P22" s="22"/>
      <c r="Q22" s="14"/>
      <c r="R22" s="14"/>
      <c r="S22" s="14"/>
      <c r="T22" s="14"/>
      <c r="U22" s="14"/>
      <c r="V22" s="22"/>
      <c r="W22" s="22"/>
      <c r="X22" s="22"/>
      <c r="Y22" s="22"/>
      <c r="Z22" s="22"/>
      <c r="AA22" s="22"/>
      <c r="AB22" s="22"/>
    </row>
    <row r="23" spans="1:28" ht="20.100000000000001" customHeight="1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22"/>
      <c r="L23" s="22"/>
      <c r="M23" s="22"/>
      <c r="N23" s="22"/>
      <c r="O23" s="22"/>
      <c r="P23" s="22"/>
      <c r="Q23" s="14"/>
      <c r="R23" s="14"/>
      <c r="S23" s="14"/>
      <c r="T23" s="14"/>
      <c r="U23" s="14"/>
      <c r="V23" s="22"/>
      <c r="W23" s="22"/>
      <c r="X23" s="22"/>
      <c r="Y23" s="22"/>
      <c r="Z23" s="22"/>
      <c r="AA23" s="22"/>
      <c r="AB23" s="22"/>
    </row>
    <row r="24" spans="1:28" ht="20.100000000000001" customHeigh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23"/>
      <c r="L24" s="23"/>
      <c r="M24" s="23"/>
      <c r="N24" s="23"/>
      <c r="O24" s="23"/>
      <c r="P24" s="23"/>
      <c r="Q24" s="15"/>
      <c r="R24" s="15"/>
      <c r="S24" s="15"/>
      <c r="T24" s="15"/>
      <c r="U24" s="15"/>
      <c r="V24" s="23"/>
      <c r="W24" s="23"/>
      <c r="X24" s="23"/>
      <c r="Y24" s="23"/>
      <c r="Z24" s="23"/>
      <c r="AA24" s="23"/>
      <c r="AB24" s="23"/>
    </row>
    <row r="25" spans="1:28" ht="20.100000000000001" customHeight="1" x14ac:dyDescent="0.25"/>
    <row r="26" spans="1:28" ht="20.100000000000001" customHeight="1" x14ac:dyDescent="0.25"/>
    <row r="27" spans="1:28" ht="20.100000000000001" customHeight="1" x14ac:dyDescent="0.25"/>
    <row r="28" spans="1:28" ht="20.100000000000001" customHeight="1" x14ac:dyDescent="0.25"/>
    <row r="29" spans="1:28" ht="20.100000000000001" customHeight="1" x14ac:dyDescent="0.25"/>
    <row r="30" spans="1:28" ht="20.100000000000001" customHeight="1" x14ac:dyDescent="0.25"/>
    <row r="31" spans="1:28" ht="20.100000000000001" customHeight="1" x14ac:dyDescent="0.25"/>
    <row r="32" spans="1:28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  <row r="210" ht="20.100000000000001" customHeight="1" x14ac:dyDescent="0.25"/>
    <row r="211" ht="20.100000000000001" customHeight="1" x14ac:dyDescent="0.25"/>
    <row r="212" ht="20.100000000000001" customHeight="1" x14ac:dyDescent="0.25"/>
    <row r="213" ht="20.100000000000001" customHeight="1" x14ac:dyDescent="0.25"/>
    <row r="214" ht="20.100000000000001" customHeight="1" x14ac:dyDescent="0.25"/>
    <row r="215" ht="20.100000000000001" customHeight="1" x14ac:dyDescent="0.25"/>
    <row r="216" ht="20.100000000000001" customHeight="1" x14ac:dyDescent="0.25"/>
    <row r="217" ht="20.100000000000001" customHeight="1" x14ac:dyDescent="0.25"/>
    <row r="218" ht="20.100000000000001" customHeight="1" x14ac:dyDescent="0.25"/>
    <row r="219" ht="20.100000000000001" customHeight="1" x14ac:dyDescent="0.25"/>
    <row r="220" ht="20.100000000000001" customHeight="1" x14ac:dyDescent="0.25"/>
    <row r="221" ht="20.100000000000001" customHeight="1" x14ac:dyDescent="0.25"/>
    <row r="222" ht="20.100000000000001" customHeight="1" x14ac:dyDescent="0.25"/>
    <row r="223" ht="20.100000000000001" customHeight="1" x14ac:dyDescent="0.25"/>
    <row r="224" ht="20.100000000000001" customHeight="1" x14ac:dyDescent="0.25"/>
    <row r="225" ht="20.100000000000001" customHeight="1" x14ac:dyDescent="0.25"/>
    <row r="226" ht="20.100000000000001" customHeight="1" x14ac:dyDescent="0.25"/>
    <row r="227" ht="20.100000000000001" customHeight="1" x14ac:dyDescent="0.25"/>
    <row r="228" ht="20.100000000000001" customHeight="1" x14ac:dyDescent="0.25"/>
    <row r="229" ht="20.100000000000001" customHeight="1" x14ac:dyDescent="0.25"/>
    <row r="230" ht="20.100000000000001" customHeight="1" x14ac:dyDescent="0.25"/>
    <row r="231" ht="20.100000000000001" customHeight="1" x14ac:dyDescent="0.25"/>
    <row r="232" ht="20.100000000000001" customHeight="1" x14ac:dyDescent="0.25"/>
    <row r="233" ht="20.100000000000001" customHeight="1" x14ac:dyDescent="0.25"/>
    <row r="234" ht="20.100000000000001" customHeight="1" x14ac:dyDescent="0.25"/>
    <row r="235" ht="20.100000000000001" customHeight="1" x14ac:dyDescent="0.25"/>
    <row r="236" ht="20.100000000000001" customHeight="1" x14ac:dyDescent="0.25"/>
    <row r="237" ht="20.100000000000001" customHeight="1" x14ac:dyDescent="0.25"/>
    <row r="238" ht="20.100000000000001" customHeight="1" x14ac:dyDescent="0.25"/>
    <row r="239" ht="20.100000000000001" customHeight="1" x14ac:dyDescent="0.25"/>
    <row r="240" ht="20.100000000000001" customHeight="1" x14ac:dyDescent="0.25"/>
    <row r="241" ht="20.100000000000001" customHeight="1" x14ac:dyDescent="0.25"/>
    <row r="242" ht="20.100000000000001" customHeight="1" x14ac:dyDescent="0.25"/>
    <row r="243" ht="20.100000000000001" customHeight="1" x14ac:dyDescent="0.25"/>
    <row r="244" ht="20.100000000000001" customHeight="1" x14ac:dyDescent="0.25"/>
    <row r="245" ht="20.100000000000001" customHeight="1" x14ac:dyDescent="0.25"/>
    <row r="246" ht="20.100000000000001" customHeight="1" x14ac:dyDescent="0.25"/>
    <row r="247" ht="20.100000000000001" customHeight="1" x14ac:dyDescent="0.25"/>
    <row r="248" ht="20.100000000000001" customHeight="1" x14ac:dyDescent="0.25"/>
    <row r="249" ht="20.100000000000001" customHeight="1" x14ac:dyDescent="0.25"/>
    <row r="250" ht="20.100000000000001" customHeight="1" x14ac:dyDescent="0.25"/>
    <row r="251" ht="20.100000000000001" customHeight="1" x14ac:dyDescent="0.25"/>
    <row r="252" ht="20.100000000000001" customHeight="1" x14ac:dyDescent="0.25"/>
    <row r="253" ht="20.100000000000001" customHeight="1" x14ac:dyDescent="0.25"/>
    <row r="254" ht="20.100000000000001" customHeight="1" x14ac:dyDescent="0.25"/>
    <row r="255" ht="20.100000000000001" customHeight="1" x14ac:dyDescent="0.25"/>
    <row r="256" ht="20.100000000000001" customHeight="1" x14ac:dyDescent="0.25"/>
    <row r="257" ht="20.100000000000001" customHeight="1" x14ac:dyDescent="0.25"/>
    <row r="258" ht="20.100000000000001" customHeight="1" x14ac:dyDescent="0.25"/>
    <row r="259" ht="20.100000000000001" customHeight="1" x14ac:dyDescent="0.25"/>
    <row r="260" ht="20.100000000000001" customHeight="1" x14ac:dyDescent="0.25"/>
    <row r="261" ht="20.100000000000001" customHeight="1" x14ac:dyDescent="0.25"/>
    <row r="262" ht="20.100000000000001" customHeight="1" x14ac:dyDescent="0.25"/>
    <row r="263" ht="20.100000000000001" customHeight="1" x14ac:dyDescent="0.25"/>
    <row r="264" ht="20.100000000000001" customHeight="1" x14ac:dyDescent="0.25"/>
    <row r="265" ht="20.100000000000001" customHeight="1" x14ac:dyDescent="0.25"/>
    <row r="266" ht="20.100000000000001" customHeight="1" x14ac:dyDescent="0.25"/>
    <row r="267" ht="20.100000000000001" customHeight="1" x14ac:dyDescent="0.25"/>
    <row r="268" ht="20.100000000000001" customHeight="1" x14ac:dyDescent="0.25"/>
    <row r="269" ht="20.100000000000001" customHeight="1" x14ac:dyDescent="0.25"/>
    <row r="270" ht="20.100000000000001" customHeight="1" x14ac:dyDescent="0.25"/>
    <row r="271" ht="20.100000000000001" customHeight="1" x14ac:dyDescent="0.25"/>
    <row r="272" ht="20.100000000000001" customHeight="1" x14ac:dyDescent="0.25"/>
    <row r="273" ht="20.100000000000001" customHeight="1" x14ac:dyDescent="0.25"/>
    <row r="274" ht="20.100000000000001" customHeight="1" x14ac:dyDescent="0.25"/>
    <row r="275" ht="20.100000000000001" customHeight="1" x14ac:dyDescent="0.25"/>
    <row r="276" ht="20.100000000000001" customHeight="1" x14ac:dyDescent="0.25"/>
    <row r="277" ht="20.100000000000001" customHeight="1" x14ac:dyDescent="0.25"/>
    <row r="278" ht="20.100000000000001" customHeight="1" x14ac:dyDescent="0.25"/>
    <row r="279" ht="20.100000000000001" customHeight="1" x14ac:dyDescent="0.25"/>
    <row r="280" ht="20.100000000000001" customHeight="1" x14ac:dyDescent="0.25"/>
    <row r="281" ht="20.100000000000001" customHeight="1" x14ac:dyDescent="0.25"/>
    <row r="282" ht="20.100000000000001" customHeight="1" x14ac:dyDescent="0.25"/>
    <row r="283" ht="20.100000000000001" customHeight="1" x14ac:dyDescent="0.25"/>
    <row r="284" ht="20.100000000000001" customHeight="1" x14ac:dyDescent="0.25"/>
    <row r="285" ht="20.100000000000001" customHeight="1" x14ac:dyDescent="0.25"/>
    <row r="286" ht="20.100000000000001" customHeight="1" x14ac:dyDescent="0.25"/>
    <row r="287" ht="20.100000000000001" customHeight="1" x14ac:dyDescent="0.25"/>
    <row r="288" ht="20.100000000000001" customHeight="1" x14ac:dyDescent="0.25"/>
    <row r="289" ht="20.100000000000001" customHeight="1" x14ac:dyDescent="0.25"/>
    <row r="290" ht="20.100000000000001" customHeight="1" x14ac:dyDescent="0.25"/>
    <row r="291" ht="20.100000000000001" customHeight="1" x14ac:dyDescent="0.25"/>
    <row r="292" ht="20.100000000000001" customHeight="1" x14ac:dyDescent="0.25"/>
    <row r="293" ht="20.100000000000001" customHeight="1" x14ac:dyDescent="0.25"/>
    <row r="294" ht="20.100000000000001" customHeight="1" x14ac:dyDescent="0.25"/>
    <row r="295" ht="20.100000000000001" customHeight="1" x14ac:dyDescent="0.25"/>
    <row r="296" ht="20.100000000000001" customHeight="1" x14ac:dyDescent="0.25"/>
    <row r="297" ht="20.100000000000001" customHeight="1" x14ac:dyDescent="0.25"/>
    <row r="298" ht="20.100000000000001" customHeight="1" x14ac:dyDescent="0.25"/>
    <row r="299" ht="20.100000000000001" customHeight="1" x14ac:dyDescent="0.25"/>
    <row r="300" ht="20.100000000000001" customHeight="1" x14ac:dyDescent="0.25"/>
    <row r="301" ht="20.100000000000001" customHeight="1" x14ac:dyDescent="0.25"/>
    <row r="302" ht="20.100000000000001" customHeight="1" x14ac:dyDescent="0.25"/>
    <row r="303" ht="20.100000000000001" customHeight="1" x14ac:dyDescent="0.25"/>
    <row r="304" ht="20.100000000000001" customHeight="1" x14ac:dyDescent="0.25"/>
    <row r="305" ht="20.100000000000001" customHeight="1" x14ac:dyDescent="0.25"/>
    <row r="306" ht="20.100000000000001" customHeight="1" x14ac:dyDescent="0.25"/>
    <row r="307" ht="20.100000000000001" customHeight="1" x14ac:dyDescent="0.25"/>
    <row r="308" ht="20.100000000000001" customHeight="1" x14ac:dyDescent="0.25"/>
    <row r="309" ht="20.100000000000001" customHeight="1" x14ac:dyDescent="0.25"/>
    <row r="310" ht="20.100000000000001" customHeight="1" x14ac:dyDescent="0.25"/>
    <row r="311" ht="20.100000000000001" customHeight="1" x14ac:dyDescent="0.25"/>
    <row r="312" ht="20.100000000000001" customHeight="1" x14ac:dyDescent="0.25"/>
    <row r="313" ht="20.100000000000001" customHeight="1" x14ac:dyDescent="0.25"/>
    <row r="314" ht="20.100000000000001" customHeight="1" x14ac:dyDescent="0.25"/>
    <row r="315" ht="20.100000000000001" customHeight="1" x14ac:dyDescent="0.25"/>
    <row r="316" ht="20.100000000000001" customHeight="1" x14ac:dyDescent="0.25"/>
    <row r="317" ht="20.100000000000001" customHeight="1" x14ac:dyDescent="0.25"/>
    <row r="318" ht="20.100000000000001" customHeight="1" x14ac:dyDescent="0.25"/>
    <row r="319" ht="20.100000000000001" customHeight="1" x14ac:dyDescent="0.25"/>
    <row r="320" ht="20.100000000000001" customHeight="1" x14ac:dyDescent="0.25"/>
    <row r="321" ht="20.100000000000001" customHeight="1" x14ac:dyDescent="0.25"/>
    <row r="322" ht="20.100000000000001" customHeight="1" x14ac:dyDescent="0.25"/>
    <row r="323" ht="20.100000000000001" customHeight="1" x14ac:dyDescent="0.25"/>
    <row r="324" ht="20.100000000000001" customHeight="1" x14ac:dyDescent="0.25"/>
    <row r="325" ht="20.100000000000001" customHeight="1" x14ac:dyDescent="0.25"/>
    <row r="326" ht="20.100000000000001" customHeight="1" x14ac:dyDescent="0.25"/>
    <row r="327" ht="20.100000000000001" customHeight="1" x14ac:dyDescent="0.25"/>
    <row r="328" ht="20.100000000000001" customHeight="1" x14ac:dyDescent="0.25"/>
    <row r="329" ht="20.100000000000001" customHeight="1" x14ac:dyDescent="0.25"/>
    <row r="330" ht="20.100000000000001" customHeight="1" x14ac:dyDescent="0.25"/>
    <row r="331" ht="20.100000000000001" customHeight="1" x14ac:dyDescent="0.25"/>
    <row r="332" ht="20.100000000000001" customHeight="1" x14ac:dyDescent="0.25"/>
    <row r="333" ht="20.100000000000001" customHeight="1" x14ac:dyDescent="0.25"/>
    <row r="334" ht="20.100000000000001" customHeight="1" x14ac:dyDescent="0.25"/>
    <row r="335" ht="20.100000000000001" customHeight="1" x14ac:dyDescent="0.25"/>
    <row r="336" ht="20.100000000000001" customHeight="1" x14ac:dyDescent="0.25"/>
    <row r="337" ht="20.100000000000001" customHeight="1" x14ac:dyDescent="0.25"/>
    <row r="338" ht="20.100000000000001" customHeight="1" x14ac:dyDescent="0.25"/>
    <row r="339" ht="20.100000000000001" customHeight="1" x14ac:dyDescent="0.25"/>
    <row r="340" ht="20.100000000000001" customHeight="1" x14ac:dyDescent="0.25"/>
    <row r="341" ht="20.100000000000001" customHeight="1" x14ac:dyDescent="0.25"/>
    <row r="342" ht="20.100000000000001" customHeight="1" x14ac:dyDescent="0.25"/>
    <row r="343" ht="20.100000000000001" customHeight="1" x14ac:dyDescent="0.25"/>
    <row r="344" ht="20.100000000000001" customHeight="1" x14ac:dyDescent="0.25"/>
    <row r="345" ht="20.100000000000001" customHeight="1" x14ac:dyDescent="0.25"/>
    <row r="346" ht="20.100000000000001" customHeight="1" x14ac:dyDescent="0.25"/>
    <row r="347" ht="20.100000000000001" customHeight="1" x14ac:dyDescent="0.25"/>
    <row r="348" ht="20.100000000000001" customHeight="1" x14ac:dyDescent="0.25"/>
    <row r="349" ht="20.100000000000001" customHeight="1" x14ac:dyDescent="0.25"/>
    <row r="350" ht="20.100000000000001" customHeight="1" x14ac:dyDescent="0.25"/>
    <row r="351" ht="20.100000000000001" customHeight="1" x14ac:dyDescent="0.25"/>
    <row r="352" ht="20.100000000000001" customHeight="1" x14ac:dyDescent="0.25"/>
    <row r="353" ht="20.100000000000001" customHeight="1" x14ac:dyDescent="0.25"/>
    <row r="354" ht="20.100000000000001" customHeight="1" x14ac:dyDescent="0.25"/>
    <row r="355" ht="20.100000000000001" customHeight="1" x14ac:dyDescent="0.25"/>
    <row r="356" ht="20.100000000000001" customHeight="1" x14ac:dyDescent="0.25"/>
    <row r="357" ht="20.100000000000001" customHeight="1" x14ac:dyDescent="0.25"/>
    <row r="358" ht="20.100000000000001" customHeight="1" x14ac:dyDescent="0.25"/>
    <row r="359" ht="20.100000000000001" customHeight="1" x14ac:dyDescent="0.25"/>
    <row r="360" ht="20.100000000000001" customHeight="1" x14ac:dyDescent="0.25"/>
    <row r="361" ht="20.100000000000001" customHeight="1" x14ac:dyDescent="0.25"/>
    <row r="362" ht="20.100000000000001" customHeight="1" x14ac:dyDescent="0.25"/>
    <row r="363" ht="20.100000000000001" customHeight="1" x14ac:dyDescent="0.25"/>
    <row r="364" ht="20.100000000000001" customHeight="1" x14ac:dyDescent="0.25"/>
    <row r="365" ht="20.100000000000001" customHeight="1" x14ac:dyDescent="0.25"/>
    <row r="366" ht="20.100000000000001" customHeight="1" x14ac:dyDescent="0.25"/>
    <row r="367" ht="20.100000000000001" customHeight="1" x14ac:dyDescent="0.25"/>
    <row r="368" ht="20.100000000000001" customHeight="1" x14ac:dyDescent="0.25"/>
    <row r="369" ht="20.100000000000001" customHeight="1" x14ac:dyDescent="0.25"/>
    <row r="370" ht="20.100000000000001" customHeight="1" x14ac:dyDescent="0.25"/>
    <row r="371" ht="20.100000000000001" customHeight="1" x14ac:dyDescent="0.25"/>
    <row r="372" ht="20.100000000000001" customHeight="1" x14ac:dyDescent="0.25"/>
    <row r="373" ht="20.100000000000001" customHeight="1" x14ac:dyDescent="0.25"/>
    <row r="374" ht="20.100000000000001" customHeight="1" x14ac:dyDescent="0.25"/>
    <row r="375" ht="20.100000000000001" customHeight="1" x14ac:dyDescent="0.25"/>
    <row r="376" ht="20.100000000000001" customHeight="1" x14ac:dyDescent="0.25"/>
    <row r="377" ht="20.100000000000001" customHeight="1" x14ac:dyDescent="0.25"/>
    <row r="378" ht="20.100000000000001" customHeight="1" x14ac:dyDescent="0.25"/>
    <row r="379" ht="20.100000000000001" customHeight="1" x14ac:dyDescent="0.25"/>
    <row r="380" ht="20.100000000000001" customHeight="1" x14ac:dyDescent="0.25"/>
    <row r="381" ht="20.100000000000001" customHeight="1" x14ac:dyDescent="0.25"/>
    <row r="382" ht="20.100000000000001" customHeight="1" x14ac:dyDescent="0.25"/>
    <row r="383" ht="20.100000000000001" customHeight="1" x14ac:dyDescent="0.25"/>
    <row r="384" ht="20.100000000000001" customHeight="1" x14ac:dyDescent="0.25"/>
    <row r="385" ht="20.100000000000001" customHeight="1" x14ac:dyDescent="0.25"/>
    <row r="386" ht="20.100000000000001" customHeight="1" x14ac:dyDescent="0.25"/>
    <row r="387" ht="20.100000000000001" customHeight="1" x14ac:dyDescent="0.25"/>
    <row r="388" ht="20.100000000000001" customHeight="1" x14ac:dyDescent="0.25"/>
    <row r="389" ht="20.100000000000001" customHeight="1" x14ac:dyDescent="0.25"/>
    <row r="390" ht="20.100000000000001" customHeight="1" x14ac:dyDescent="0.25"/>
  </sheetData>
  <autoFilter ref="A6:J6"/>
  <mergeCells count="3">
    <mergeCell ref="A4:J4"/>
    <mergeCell ref="K5:P5"/>
    <mergeCell ref="V5:AA5"/>
  </mergeCells>
  <pageMargins left="0.7" right="0.7" top="0.75" bottom="0.75" header="0.3" footer="0.3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36"/>
  <sheetViews>
    <sheetView topLeftCell="A7" zoomScale="85" workbookViewId="0">
      <selection activeCell="C13" sqref="C13"/>
    </sheetView>
  </sheetViews>
  <sheetFormatPr defaultRowHeight="15" x14ac:dyDescent="0.25"/>
  <cols>
    <col min="1" max="1" width="4.140625" style="6" customWidth="1"/>
    <col min="2" max="2" width="6.28515625" style="6" customWidth="1"/>
    <col min="3" max="3" width="16.140625" style="6" customWidth="1"/>
    <col min="4" max="4" width="27.42578125" style="6" customWidth="1"/>
    <col min="5" max="5" width="11.85546875" style="6" customWidth="1"/>
    <col min="6" max="6" width="11.42578125" style="6" customWidth="1"/>
    <col min="7" max="7" width="7.5703125" style="6" customWidth="1"/>
    <col min="8" max="8" width="12" style="6" customWidth="1"/>
    <col min="9" max="9" width="11.7109375" style="6" customWidth="1"/>
    <col min="10" max="10" width="12.42578125" style="6" customWidth="1"/>
    <col min="11" max="11" width="21.7109375" style="6" customWidth="1"/>
  </cols>
  <sheetData>
    <row r="1" spans="1:11" ht="15" customHeight="1" x14ac:dyDescent="0.25">
      <c r="A1" s="27"/>
      <c r="H1" s="56"/>
    </row>
    <row r="2" spans="1:11" ht="15" customHeight="1" x14ac:dyDescent="0.25">
      <c r="A2" s="27"/>
      <c r="H2" s="132"/>
    </row>
    <row r="3" spans="1:11" ht="15" customHeight="1" x14ac:dyDescent="0.25">
      <c r="A3" s="135" t="s">
        <v>23</v>
      </c>
      <c r="B3" s="28"/>
      <c r="H3" s="56"/>
    </row>
    <row r="4" spans="1:11" ht="15" customHeight="1" x14ac:dyDescent="0.25">
      <c r="A4" s="135" t="s">
        <v>53</v>
      </c>
      <c r="B4" s="28"/>
      <c r="H4" s="56"/>
      <c r="J4" s="156" t="s">
        <v>13</v>
      </c>
      <c r="K4" s="156"/>
    </row>
    <row r="5" spans="1:11" ht="24" customHeight="1" x14ac:dyDescent="0.3">
      <c r="A5" s="149" t="s">
        <v>3</v>
      </c>
      <c r="B5" s="149"/>
      <c r="C5" s="149"/>
      <c r="D5" s="149"/>
      <c r="E5" s="149"/>
      <c r="F5" s="149"/>
      <c r="G5" s="149"/>
      <c r="H5" s="149"/>
      <c r="I5" s="149"/>
      <c r="J5" s="149"/>
      <c r="K5" s="149"/>
    </row>
    <row r="6" spans="1:11" s="128" customFormat="1" ht="20.25" customHeight="1" x14ac:dyDescent="0.2">
      <c r="A6" s="158" t="s">
        <v>54</v>
      </c>
      <c r="B6" s="158"/>
      <c r="C6" s="158"/>
      <c r="D6" s="158"/>
      <c r="E6" s="158"/>
      <c r="F6" s="158"/>
      <c r="G6" s="158"/>
      <c r="H6" s="158"/>
      <c r="I6" s="158"/>
      <c r="J6" s="158"/>
      <c r="K6" s="158"/>
    </row>
    <row r="7" spans="1:11" s="128" customFormat="1" ht="20.25" customHeight="1" x14ac:dyDescent="0.25">
      <c r="A7" s="160" t="s">
        <v>69</v>
      </c>
      <c r="B7" s="160"/>
      <c r="C7" s="160"/>
      <c r="D7" s="160"/>
      <c r="E7" s="160"/>
      <c r="F7" s="160"/>
      <c r="G7" s="160"/>
      <c r="H7" s="160"/>
      <c r="I7" s="160"/>
      <c r="J7" s="160"/>
      <c r="K7" s="160"/>
    </row>
    <row r="8" spans="1:11" s="133" customFormat="1" ht="15.75" customHeight="1" x14ac:dyDescent="0.25">
      <c r="A8" s="159"/>
      <c r="B8" s="159"/>
      <c r="C8" s="159"/>
      <c r="D8" s="159"/>
      <c r="E8" s="159"/>
      <c r="F8" s="159"/>
      <c r="G8" s="159"/>
      <c r="H8" s="159"/>
      <c r="J8" s="157" t="s">
        <v>59</v>
      </c>
      <c r="K8" s="157"/>
    </row>
    <row r="9" spans="1:11" s="48" customFormat="1" ht="37.5" customHeight="1" x14ac:dyDescent="0.25">
      <c r="A9" s="137" t="s">
        <v>52</v>
      </c>
      <c r="B9" s="138" t="s">
        <v>36</v>
      </c>
      <c r="C9" s="136" t="s">
        <v>39</v>
      </c>
      <c r="D9" s="136" t="s">
        <v>12</v>
      </c>
      <c r="E9" s="136" t="s">
        <v>60</v>
      </c>
      <c r="F9" s="138" t="s">
        <v>7</v>
      </c>
      <c r="G9" s="138" t="s">
        <v>35</v>
      </c>
      <c r="H9" s="139" t="s">
        <v>62</v>
      </c>
      <c r="I9" s="136" t="s">
        <v>42</v>
      </c>
      <c r="J9" s="136" t="s">
        <v>22</v>
      </c>
      <c r="K9" s="136" t="s">
        <v>51</v>
      </c>
    </row>
    <row r="10" spans="1:11" ht="20.100000000000001" customHeight="1" x14ac:dyDescent="0.25"/>
    <row r="11" spans="1:11" ht="20.100000000000001" customHeight="1" x14ac:dyDescent="0.25"/>
    <row r="12" spans="1:11" ht="20.100000000000001" customHeight="1" x14ac:dyDescent="0.25"/>
    <row r="13" spans="1:11" ht="20.100000000000001" customHeight="1" x14ac:dyDescent="0.25"/>
    <row r="14" spans="1:11" ht="20.100000000000001" customHeight="1" x14ac:dyDescent="0.25"/>
    <row r="15" spans="1:11" ht="20.100000000000001" customHeight="1" x14ac:dyDescent="0.25"/>
    <row r="16" spans="1:11" ht="20.100000000000001" customHeight="1" x14ac:dyDescent="0.25"/>
    <row r="17" ht="20.100000000000001" customHeight="1" x14ac:dyDescent="0.25"/>
    <row r="18" ht="20.100000000000001" customHeight="1" x14ac:dyDescent="0.25"/>
    <row r="19" ht="20.100000000000001" customHeight="1" x14ac:dyDescent="0.25"/>
    <row r="20" ht="20.100000000000001" customHeight="1" x14ac:dyDescent="0.25"/>
    <row r="21" ht="20.100000000000001" customHeight="1" x14ac:dyDescent="0.25"/>
    <row r="22" ht="20.100000000000001" customHeight="1" x14ac:dyDescent="0.25"/>
    <row r="23" ht="20.100000000000001" customHeight="1" x14ac:dyDescent="0.25"/>
    <row r="24" ht="20.100000000000001" customHeight="1" x14ac:dyDescent="0.25"/>
    <row r="25" ht="20.100000000000001" customHeight="1" x14ac:dyDescent="0.25"/>
    <row r="26" ht="20.100000000000001" customHeight="1" x14ac:dyDescent="0.25"/>
    <row r="27" ht="20.100000000000001" customHeight="1" x14ac:dyDescent="0.25"/>
    <row r="28" ht="20.100000000000001" customHeight="1" x14ac:dyDescent="0.25"/>
    <row r="29" ht="20.100000000000001" customHeight="1" x14ac:dyDescent="0.25"/>
    <row r="30" ht="20.100000000000001" customHeight="1" x14ac:dyDescent="0.25"/>
    <row r="31" ht="20.100000000000001" customHeight="1" x14ac:dyDescent="0.25"/>
    <row r="32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  <row r="210" ht="20.100000000000001" customHeight="1" x14ac:dyDescent="0.25"/>
    <row r="211" ht="20.100000000000001" customHeight="1" x14ac:dyDescent="0.25"/>
    <row r="212" ht="20.100000000000001" customHeight="1" x14ac:dyDescent="0.25"/>
    <row r="213" ht="20.100000000000001" customHeight="1" x14ac:dyDescent="0.25"/>
    <row r="214" ht="20.100000000000001" customHeight="1" x14ac:dyDescent="0.25"/>
    <row r="215" ht="20.100000000000001" customHeight="1" x14ac:dyDescent="0.25"/>
    <row r="216" ht="20.100000000000001" customHeight="1" x14ac:dyDescent="0.25"/>
    <row r="217" ht="20.100000000000001" customHeight="1" x14ac:dyDescent="0.25"/>
    <row r="218" ht="20.100000000000001" customHeight="1" x14ac:dyDescent="0.25"/>
    <row r="219" ht="20.100000000000001" customHeight="1" x14ac:dyDescent="0.25"/>
    <row r="220" ht="20.100000000000001" customHeight="1" x14ac:dyDescent="0.25"/>
    <row r="221" ht="20.100000000000001" customHeight="1" x14ac:dyDescent="0.25"/>
    <row r="222" ht="20.100000000000001" customHeight="1" x14ac:dyDescent="0.25"/>
    <row r="223" ht="20.100000000000001" customHeight="1" x14ac:dyDescent="0.25"/>
    <row r="224" ht="20.100000000000001" customHeight="1" x14ac:dyDescent="0.25"/>
    <row r="225" ht="20.100000000000001" customHeight="1" x14ac:dyDescent="0.25"/>
    <row r="226" ht="20.100000000000001" customHeight="1" x14ac:dyDescent="0.25"/>
    <row r="227" ht="20.100000000000001" customHeight="1" x14ac:dyDescent="0.25"/>
    <row r="228" ht="20.100000000000001" customHeight="1" x14ac:dyDescent="0.25"/>
    <row r="229" ht="20.100000000000001" customHeight="1" x14ac:dyDescent="0.25"/>
    <row r="230" ht="20.100000000000001" customHeight="1" x14ac:dyDescent="0.25"/>
    <row r="231" ht="20.100000000000001" customHeight="1" x14ac:dyDescent="0.25"/>
    <row r="232" ht="20.100000000000001" customHeight="1" x14ac:dyDescent="0.25"/>
    <row r="233" ht="20.100000000000001" customHeight="1" x14ac:dyDescent="0.25"/>
    <row r="234" ht="20.100000000000001" customHeight="1" x14ac:dyDescent="0.25"/>
    <row r="235" ht="20.100000000000001" customHeight="1" x14ac:dyDescent="0.25"/>
    <row r="236" ht="20.100000000000001" customHeight="1" x14ac:dyDescent="0.25"/>
    <row r="237" ht="20.100000000000001" customHeight="1" x14ac:dyDescent="0.25"/>
    <row r="238" ht="20.100000000000001" customHeight="1" x14ac:dyDescent="0.25"/>
    <row r="239" ht="20.100000000000001" customHeight="1" x14ac:dyDescent="0.25"/>
    <row r="240" ht="20.100000000000001" customHeight="1" x14ac:dyDescent="0.25"/>
    <row r="241" ht="20.100000000000001" customHeight="1" x14ac:dyDescent="0.25"/>
    <row r="242" ht="20.100000000000001" customHeight="1" x14ac:dyDescent="0.25"/>
    <row r="243" ht="20.100000000000001" customHeight="1" x14ac:dyDescent="0.25"/>
    <row r="244" ht="20.100000000000001" customHeight="1" x14ac:dyDescent="0.25"/>
    <row r="245" ht="20.100000000000001" customHeight="1" x14ac:dyDescent="0.25"/>
    <row r="246" ht="20.100000000000001" customHeight="1" x14ac:dyDescent="0.25"/>
    <row r="247" ht="20.100000000000001" customHeight="1" x14ac:dyDescent="0.25"/>
    <row r="248" ht="20.100000000000001" customHeight="1" x14ac:dyDescent="0.25"/>
    <row r="249" ht="20.100000000000001" customHeight="1" x14ac:dyDescent="0.25"/>
    <row r="250" ht="20.100000000000001" customHeight="1" x14ac:dyDescent="0.25"/>
    <row r="251" ht="20.100000000000001" customHeight="1" x14ac:dyDescent="0.25"/>
    <row r="252" ht="20.100000000000001" customHeight="1" x14ac:dyDescent="0.25"/>
    <row r="253" ht="20.100000000000001" customHeight="1" x14ac:dyDescent="0.25"/>
    <row r="254" ht="20.100000000000001" customHeight="1" x14ac:dyDescent="0.25"/>
    <row r="255" ht="20.100000000000001" customHeight="1" x14ac:dyDescent="0.25"/>
    <row r="256" ht="20.100000000000001" customHeight="1" x14ac:dyDescent="0.25"/>
    <row r="257" ht="20.100000000000001" customHeight="1" x14ac:dyDescent="0.25"/>
    <row r="258" ht="20.100000000000001" customHeight="1" x14ac:dyDescent="0.25"/>
    <row r="259" ht="20.100000000000001" customHeight="1" x14ac:dyDescent="0.25"/>
    <row r="260" ht="20.100000000000001" customHeight="1" x14ac:dyDescent="0.25"/>
    <row r="261" ht="20.100000000000001" customHeight="1" x14ac:dyDescent="0.25"/>
    <row r="262" ht="20.100000000000001" customHeight="1" x14ac:dyDescent="0.25"/>
    <row r="263" ht="20.100000000000001" customHeight="1" x14ac:dyDescent="0.25"/>
    <row r="264" ht="20.100000000000001" customHeight="1" x14ac:dyDescent="0.25"/>
    <row r="265" ht="20.100000000000001" customHeight="1" x14ac:dyDescent="0.25"/>
    <row r="266" ht="20.100000000000001" customHeight="1" x14ac:dyDescent="0.25"/>
    <row r="267" ht="20.100000000000001" customHeight="1" x14ac:dyDescent="0.25"/>
    <row r="268" ht="20.100000000000001" customHeight="1" x14ac:dyDescent="0.25"/>
    <row r="269" ht="20.100000000000001" customHeight="1" x14ac:dyDescent="0.25"/>
    <row r="270" ht="20.100000000000001" customHeight="1" x14ac:dyDescent="0.25"/>
    <row r="271" ht="20.100000000000001" customHeight="1" x14ac:dyDescent="0.25"/>
    <row r="272" ht="20.100000000000001" customHeight="1" x14ac:dyDescent="0.25"/>
    <row r="273" ht="20.100000000000001" customHeight="1" x14ac:dyDescent="0.25"/>
    <row r="274" ht="20.100000000000001" customHeight="1" x14ac:dyDescent="0.25"/>
    <row r="275" ht="20.100000000000001" customHeight="1" x14ac:dyDescent="0.25"/>
    <row r="276" ht="20.100000000000001" customHeight="1" x14ac:dyDescent="0.25"/>
    <row r="277" ht="20.100000000000001" customHeight="1" x14ac:dyDescent="0.25"/>
    <row r="278" ht="20.100000000000001" customHeight="1" x14ac:dyDescent="0.25"/>
    <row r="279" ht="20.100000000000001" customHeight="1" x14ac:dyDescent="0.25"/>
    <row r="280" ht="20.100000000000001" customHeight="1" x14ac:dyDescent="0.25"/>
    <row r="281" ht="20.100000000000001" customHeight="1" x14ac:dyDescent="0.25"/>
    <row r="282" ht="20.100000000000001" customHeight="1" x14ac:dyDescent="0.25"/>
    <row r="283" ht="20.100000000000001" customHeight="1" x14ac:dyDescent="0.25"/>
    <row r="284" ht="20.100000000000001" customHeight="1" x14ac:dyDescent="0.25"/>
    <row r="285" ht="20.100000000000001" customHeight="1" x14ac:dyDescent="0.25"/>
    <row r="286" ht="20.100000000000001" customHeight="1" x14ac:dyDescent="0.25"/>
    <row r="287" ht="20.100000000000001" customHeight="1" x14ac:dyDescent="0.25"/>
    <row r="288" ht="20.100000000000001" customHeight="1" x14ac:dyDescent="0.25"/>
    <row r="289" ht="20.100000000000001" customHeight="1" x14ac:dyDescent="0.25"/>
    <row r="290" ht="20.100000000000001" customHeight="1" x14ac:dyDescent="0.25"/>
    <row r="291" ht="20.100000000000001" customHeight="1" x14ac:dyDescent="0.25"/>
    <row r="292" ht="20.100000000000001" customHeight="1" x14ac:dyDescent="0.25"/>
    <row r="293" ht="20.100000000000001" customHeight="1" x14ac:dyDescent="0.25"/>
    <row r="294" ht="20.100000000000001" customHeight="1" x14ac:dyDescent="0.25"/>
    <row r="295" ht="20.100000000000001" customHeight="1" x14ac:dyDescent="0.25"/>
    <row r="296" ht="20.100000000000001" customHeight="1" x14ac:dyDescent="0.25"/>
    <row r="297" ht="20.100000000000001" customHeight="1" x14ac:dyDescent="0.25"/>
    <row r="298" ht="20.100000000000001" customHeight="1" x14ac:dyDescent="0.25"/>
    <row r="299" ht="20.100000000000001" customHeight="1" x14ac:dyDescent="0.25"/>
    <row r="300" ht="20.100000000000001" customHeight="1" x14ac:dyDescent="0.25"/>
    <row r="301" ht="20.100000000000001" customHeight="1" x14ac:dyDescent="0.25"/>
    <row r="302" ht="20.100000000000001" customHeight="1" x14ac:dyDescent="0.25"/>
    <row r="303" ht="20.100000000000001" customHeight="1" x14ac:dyDescent="0.25"/>
    <row r="304" ht="20.100000000000001" customHeight="1" x14ac:dyDescent="0.25"/>
    <row r="305" ht="20.100000000000001" customHeight="1" x14ac:dyDescent="0.25"/>
    <row r="306" ht="20.100000000000001" customHeight="1" x14ac:dyDescent="0.25"/>
    <row r="307" ht="20.100000000000001" customHeight="1" x14ac:dyDescent="0.25"/>
    <row r="308" ht="20.100000000000001" customHeight="1" x14ac:dyDescent="0.25"/>
    <row r="309" ht="20.100000000000001" customHeight="1" x14ac:dyDescent="0.25"/>
    <row r="310" ht="20.100000000000001" customHeight="1" x14ac:dyDescent="0.25"/>
    <row r="311" ht="20.100000000000001" customHeight="1" x14ac:dyDescent="0.25"/>
    <row r="312" ht="20.100000000000001" customHeight="1" x14ac:dyDescent="0.25"/>
    <row r="313" ht="20.100000000000001" customHeight="1" x14ac:dyDescent="0.25"/>
    <row r="314" ht="20.100000000000001" customHeight="1" x14ac:dyDescent="0.25"/>
    <row r="315" ht="20.100000000000001" customHeight="1" x14ac:dyDescent="0.25"/>
    <row r="316" ht="20.100000000000001" customHeight="1" x14ac:dyDescent="0.25"/>
    <row r="317" ht="20.100000000000001" customHeight="1" x14ac:dyDescent="0.25"/>
    <row r="318" ht="20.100000000000001" customHeight="1" x14ac:dyDescent="0.25"/>
    <row r="319" ht="20.100000000000001" customHeight="1" x14ac:dyDescent="0.25"/>
    <row r="320" ht="20.100000000000001" customHeight="1" x14ac:dyDescent="0.25"/>
    <row r="321" ht="20.100000000000001" customHeight="1" x14ac:dyDescent="0.25"/>
    <row r="322" ht="20.100000000000001" customHeight="1" x14ac:dyDescent="0.25"/>
    <row r="323" ht="20.100000000000001" customHeight="1" x14ac:dyDescent="0.25"/>
    <row r="324" ht="20.100000000000001" customHeight="1" x14ac:dyDescent="0.25"/>
    <row r="325" ht="20.100000000000001" customHeight="1" x14ac:dyDescent="0.25"/>
    <row r="326" ht="20.100000000000001" customHeight="1" x14ac:dyDescent="0.25"/>
    <row r="327" ht="20.100000000000001" customHeight="1" x14ac:dyDescent="0.25"/>
    <row r="328" ht="20.100000000000001" customHeight="1" x14ac:dyDescent="0.25"/>
    <row r="329" ht="20.100000000000001" customHeight="1" x14ac:dyDescent="0.25"/>
    <row r="330" ht="20.100000000000001" customHeight="1" x14ac:dyDescent="0.25"/>
    <row r="331" ht="20.100000000000001" customHeight="1" x14ac:dyDescent="0.25"/>
    <row r="332" ht="20.100000000000001" customHeight="1" x14ac:dyDescent="0.25"/>
    <row r="333" ht="20.100000000000001" customHeight="1" x14ac:dyDescent="0.25"/>
    <row r="334" ht="20.100000000000001" customHeight="1" x14ac:dyDescent="0.25"/>
    <row r="335" ht="20.100000000000001" customHeight="1" x14ac:dyDescent="0.25"/>
    <row r="336" ht="20.100000000000001" customHeight="1" x14ac:dyDescent="0.25"/>
  </sheetData>
  <mergeCells count="6">
    <mergeCell ref="J4:K4"/>
    <mergeCell ref="J8:K8"/>
    <mergeCell ref="A6:K6"/>
    <mergeCell ref="A8:H8"/>
    <mergeCell ref="A5:K5"/>
    <mergeCell ref="A7:K7"/>
  </mergeCells>
  <pageMargins left="0.19685039370078741" right="0.15748031496062992" top="0.15748031496062992" bottom="0.15748031496062992" header="0.31496062992125984" footer="0.31496062992125984"/>
  <pageSetup paperSize="9" orientation="landscape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88"/>
  <sheetViews>
    <sheetView workbookViewId="0">
      <selection activeCell="B10" sqref="B10"/>
    </sheetView>
  </sheetViews>
  <sheetFormatPr defaultRowHeight="15" x14ac:dyDescent="0.25"/>
  <cols>
    <col min="1" max="1" width="4.140625" style="6" customWidth="1"/>
    <col min="2" max="2" width="8.28515625" style="6" customWidth="1"/>
    <col min="3" max="3" width="0.28515625" style="6" hidden="1" customWidth="1"/>
    <col min="4" max="4" width="11.5703125" style="6" customWidth="1"/>
    <col min="5" max="5" width="16.5703125" style="6" customWidth="1"/>
    <col min="6" max="6" width="40.7109375" style="6" customWidth="1"/>
    <col min="7" max="7" width="14.85546875" style="56" customWidth="1"/>
    <col min="8" max="8" width="14.28515625" style="56" customWidth="1"/>
    <col min="9" max="9" width="13.5703125" style="56" customWidth="1"/>
    <col min="10" max="10" width="18" style="18" hidden="1" customWidth="1"/>
    <col min="11" max="11" width="17.28515625" style="18" hidden="1" customWidth="1"/>
    <col min="12" max="12" width="1.42578125" style="18" hidden="1" customWidth="1"/>
    <col min="13" max="13" width="10.140625" style="18" hidden="1" customWidth="1"/>
  </cols>
  <sheetData>
    <row r="1" spans="1:13" ht="15" customHeight="1" x14ac:dyDescent="0.25">
      <c r="M1" s="41" t="s">
        <v>11</v>
      </c>
    </row>
    <row r="2" spans="1:13" ht="15" customHeight="1" x14ac:dyDescent="0.25">
      <c r="I2" s="67"/>
    </row>
    <row r="4" spans="1:13" ht="15" customHeight="1" x14ac:dyDescent="0.25">
      <c r="A4" s="28"/>
      <c r="B4" s="28"/>
      <c r="C4" s="28"/>
    </row>
    <row r="5" spans="1:13" ht="29.25" customHeight="1" x14ac:dyDescent="0.3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</row>
    <row r="6" spans="1:13" ht="20.25" hidden="1" customHeight="1" x14ac:dyDescent="0.25">
      <c r="J6" s="151"/>
      <c r="K6" s="151"/>
      <c r="L6" s="152"/>
      <c r="M6"/>
    </row>
    <row r="7" spans="1:13" ht="20.25" customHeight="1" x14ac:dyDescent="0.25">
      <c r="A7" s="163"/>
      <c r="B7" s="163"/>
      <c r="C7" s="163"/>
      <c r="D7" s="163"/>
      <c r="E7" s="163"/>
      <c r="F7" s="163"/>
      <c r="G7" s="163"/>
      <c r="H7" s="163"/>
      <c r="I7" s="163"/>
      <c r="J7" s="58"/>
      <c r="K7" s="58"/>
      <c r="L7" s="58"/>
      <c r="M7"/>
    </row>
    <row r="8" spans="1:13" s="26" customFormat="1" ht="20.25" customHeight="1" x14ac:dyDescent="0.25">
      <c r="A8" s="159"/>
      <c r="B8" s="159"/>
      <c r="C8" s="159"/>
      <c r="D8" s="159"/>
      <c r="E8" s="159"/>
      <c r="F8" s="159"/>
      <c r="G8" s="159"/>
      <c r="H8" s="159"/>
      <c r="I8" s="159"/>
      <c r="J8" s="159"/>
      <c r="K8" s="159"/>
      <c r="L8" s="159"/>
      <c r="M8" s="159"/>
    </row>
    <row r="9" spans="1:13" s="11" customFormat="1" ht="44.25" customHeight="1" x14ac:dyDescent="0.25">
      <c r="A9" s="44"/>
      <c r="B9" s="8"/>
      <c r="C9" s="8"/>
      <c r="D9" s="7"/>
      <c r="E9" s="7"/>
      <c r="F9" s="7"/>
      <c r="G9" s="19"/>
      <c r="H9" s="19"/>
      <c r="I9" s="19"/>
      <c r="J9" s="19"/>
      <c r="K9" s="19"/>
      <c r="L9" s="19"/>
      <c r="M9" s="19"/>
    </row>
    <row r="10" spans="1:13" ht="20.100000000000001" customHeight="1" x14ac:dyDescent="0.25">
      <c r="A10" s="1"/>
      <c r="B10" s="1"/>
      <c r="C10" s="1"/>
      <c r="D10" s="2"/>
      <c r="E10" s="1"/>
      <c r="F10" s="1"/>
      <c r="G10" s="59"/>
      <c r="H10" s="59"/>
      <c r="I10" s="59"/>
      <c r="J10" s="21"/>
      <c r="K10" s="21"/>
      <c r="L10" s="21"/>
      <c r="M10" s="21"/>
    </row>
    <row r="11" spans="1:13" ht="20.100000000000001" customHeight="1" x14ac:dyDescent="0.25">
      <c r="A11" s="3"/>
      <c r="B11" s="3"/>
      <c r="C11" s="3"/>
      <c r="D11" s="4"/>
      <c r="E11" s="3"/>
      <c r="F11" s="3"/>
      <c r="G11" s="59"/>
      <c r="H11" s="59"/>
      <c r="I11" s="59"/>
      <c r="J11" s="21"/>
      <c r="K11" s="21"/>
      <c r="L11" s="21"/>
      <c r="M11" s="21"/>
    </row>
    <row r="12" spans="1:13" ht="20.100000000000001" customHeight="1" x14ac:dyDescent="0.25">
      <c r="A12" s="3"/>
      <c r="B12" s="3"/>
      <c r="C12" s="3"/>
      <c r="D12" s="4"/>
      <c r="E12" s="3"/>
      <c r="F12" s="3"/>
      <c r="G12" s="59"/>
      <c r="H12" s="59"/>
      <c r="I12" s="59"/>
      <c r="J12" s="21"/>
      <c r="K12" s="21"/>
      <c r="L12" s="21"/>
      <c r="M12" s="21"/>
    </row>
    <row r="13" spans="1:13" ht="20.100000000000001" customHeight="1" x14ac:dyDescent="0.25">
      <c r="A13" s="3"/>
      <c r="B13" s="3"/>
      <c r="C13" s="3"/>
      <c r="D13" s="4"/>
      <c r="E13" s="3"/>
      <c r="F13" s="3"/>
      <c r="G13" s="59"/>
      <c r="H13" s="59"/>
      <c r="I13" s="59"/>
      <c r="J13" s="21"/>
      <c r="K13" s="21"/>
      <c r="L13" s="21"/>
      <c r="M13" s="21"/>
    </row>
    <row r="14" spans="1:13" ht="20.100000000000001" customHeight="1" x14ac:dyDescent="0.25">
      <c r="A14" s="3"/>
      <c r="B14" s="3"/>
      <c r="C14" s="3"/>
      <c r="D14" s="3"/>
      <c r="E14" s="3"/>
      <c r="F14" s="3"/>
      <c r="G14" s="59"/>
      <c r="H14" s="59"/>
      <c r="I14" s="59"/>
      <c r="J14" s="21"/>
      <c r="K14" s="21"/>
      <c r="L14" s="21"/>
      <c r="M14" s="21"/>
    </row>
    <row r="15" spans="1:13" ht="20.100000000000001" customHeight="1" x14ac:dyDescent="0.25">
      <c r="A15" s="3"/>
      <c r="B15" s="3"/>
      <c r="C15" s="3"/>
      <c r="D15" s="3"/>
      <c r="E15" s="3"/>
      <c r="F15" s="3"/>
      <c r="G15" s="59"/>
      <c r="H15" s="59"/>
      <c r="I15" s="59"/>
      <c r="J15" s="21"/>
      <c r="K15" s="21"/>
      <c r="L15" s="21"/>
      <c r="M15" s="21"/>
    </row>
    <row r="16" spans="1:13" ht="20.100000000000001" customHeight="1" x14ac:dyDescent="0.25">
      <c r="A16" s="3"/>
      <c r="B16" s="3"/>
      <c r="C16" s="3"/>
      <c r="D16" s="3"/>
      <c r="E16" s="3"/>
      <c r="F16" s="3"/>
      <c r="G16" s="59"/>
      <c r="H16" s="59"/>
      <c r="I16" s="59"/>
      <c r="J16" s="21"/>
      <c r="K16" s="21"/>
      <c r="L16" s="21"/>
      <c r="M16" s="21"/>
    </row>
    <row r="17" spans="1:14" ht="20.100000000000001" customHeight="1" x14ac:dyDescent="0.25">
      <c r="A17" s="3"/>
      <c r="B17" s="3"/>
      <c r="C17" s="3"/>
      <c r="D17" s="3"/>
      <c r="E17" s="3"/>
      <c r="F17" s="3"/>
      <c r="G17" s="60"/>
      <c r="H17" s="60"/>
      <c r="I17" s="60"/>
      <c r="J17" s="22"/>
      <c r="K17" s="22"/>
      <c r="L17" s="22"/>
      <c r="M17" s="21"/>
    </row>
    <row r="18" spans="1:14" ht="20.100000000000001" customHeight="1" x14ac:dyDescent="0.25">
      <c r="A18" s="3"/>
      <c r="B18" s="3"/>
      <c r="C18" s="3"/>
      <c r="D18" s="3"/>
      <c r="E18" s="3"/>
      <c r="F18" s="3"/>
      <c r="G18" s="60"/>
      <c r="H18" s="60"/>
      <c r="I18" s="60"/>
      <c r="J18" s="22"/>
      <c r="K18" s="22"/>
      <c r="L18" s="22"/>
      <c r="M18" s="21"/>
    </row>
    <row r="19" spans="1:14" ht="20.100000000000001" customHeight="1" x14ac:dyDescent="0.25">
      <c r="A19" s="3"/>
      <c r="B19" s="3"/>
      <c r="C19" s="3"/>
      <c r="D19" s="3"/>
      <c r="E19" s="3"/>
      <c r="F19" s="3"/>
      <c r="G19" s="60"/>
      <c r="H19" s="60"/>
      <c r="I19" s="60"/>
      <c r="J19" s="22"/>
      <c r="K19" s="22"/>
      <c r="L19" s="22"/>
      <c r="M19" s="21"/>
    </row>
    <row r="20" spans="1:14" ht="20.100000000000001" customHeight="1" x14ac:dyDescent="0.25">
      <c r="A20" s="3"/>
      <c r="B20" s="3"/>
      <c r="C20" s="3"/>
      <c r="D20" s="3"/>
      <c r="E20" s="3"/>
      <c r="F20" s="3"/>
      <c r="G20" s="60"/>
      <c r="H20" s="60"/>
      <c r="I20" s="60"/>
      <c r="J20" s="22"/>
      <c r="K20" s="22"/>
      <c r="L20" s="22"/>
      <c r="M20" s="21"/>
    </row>
    <row r="21" spans="1:14" ht="20.100000000000001" customHeight="1" x14ac:dyDescent="0.25">
      <c r="A21" s="3"/>
      <c r="B21" s="3"/>
      <c r="C21" s="3"/>
      <c r="D21" s="3"/>
      <c r="E21" s="3"/>
      <c r="F21" s="3"/>
      <c r="G21" s="60"/>
      <c r="H21" s="60"/>
      <c r="I21" s="60"/>
      <c r="J21" s="22"/>
      <c r="K21" s="22"/>
      <c r="L21" s="22"/>
      <c r="M21" s="21"/>
    </row>
    <row r="22" spans="1:14" ht="20.100000000000001" customHeight="1" x14ac:dyDescent="0.25">
      <c r="A22" s="34"/>
      <c r="B22" s="34"/>
      <c r="C22" s="34"/>
      <c r="D22" s="34"/>
      <c r="E22" s="34"/>
      <c r="F22" s="34"/>
      <c r="G22" s="61"/>
      <c r="H22" s="61"/>
      <c r="I22" s="61"/>
      <c r="J22" s="35"/>
      <c r="K22" s="35"/>
      <c r="L22" s="35"/>
      <c r="M22" s="35"/>
    </row>
    <row r="23" spans="1:14" s="33" customFormat="1" ht="20.100000000000001" customHeight="1" x14ac:dyDescent="0.25">
      <c r="A23" s="36"/>
      <c r="B23" s="36"/>
      <c r="C23" s="36"/>
      <c r="D23" s="36"/>
      <c r="E23" s="36"/>
      <c r="F23" s="36"/>
      <c r="G23" s="62"/>
      <c r="H23" s="62"/>
      <c r="I23" s="62"/>
      <c r="J23" s="37"/>
      <c r="K23" s="37"/>
      <c r="L23" s="37"/>
      <c r="M23" s="37"/>
    </row>
    <row r="24" spans="1:14" s="40" customFormat="1" ht="20.100000000000001" customHeight="1" x14ac:dyDescent="0.25">
      <c r="A24" s="38"/>
      <c r="B24" s="38"/>
      <c r="C24" s="38"/>
      <c r="D24" s="38"/>
      <c r="E24" s="38"/>
      <c r="F24" s="38"/>
      <c r="G24" s="63"/>
      <c r="H24" s="63"/>
      <c r="I24" s="63"/>
      <c r="J24" s="39"/>
      <c r="K24" s="39"/>
      <c r="L24" s="39"/>
      <c r="M24" s="39"/>
    </row>
    <row r="25" spans="1:14" ht="20.100000000000001" customHeight="1" x14ac:dyDescent="0.25"/>
    <row r="26" spans="1:14" ht="20.100000000000001" customHeight="1" x14ac:dyDescent="0.25">
      <c r="A26" s="161"/>
      <c r="B26" s="161"/>
      <c r="C26" s="161"/>
      <c r="D26" s="161"/>
      <c r="E26" s="45"/>
      <c r="F26" s="29"/>
      <c r="G26" s="64"/>
      <c r="H26" s="57"/>
      <c r="I26" s="64"/>
      <c r="J26" s="29"/>
      <c r="K26" s="29"/>
      <c r="L26" s="29"/>
      <c r="N26" s="45"/>
    </row>
    <row r="27" spans="1:14" ht="20.100000000000001" customHeight="1" x14ac:dyDescent="0.25">
      <c r="D27" s="30"/>
      <c r="E27" s="30"/>
      <c r="F27" s="30"/>
      <c r="G27" s="65"/>
      <c r="H27" s="65"/>
      <c r="I27" s="65"/>
      <c r="J27" s="30"/>
      <c r="K27" s="30"/>
      <c r="L27" s="31"/>
      <c r="M27" s="43"/>
      <c r="N27" s="42"/>
    </row>
    <row r="28" spans="1:14" ht="20.100000000000001" customHeight="1" x14ac:dyDescent="0.25">
      <c r="D28" s="30"/>
      <c r="E28" s="30"/>
      <c r="F28" s="30"/>
      <c r="G28" s="65"/>
      <c r="H28" s="65"/>
      <c r="I28" s="65"/>
      <c r="J28" s="30"/>
      <c r="K28" s="30"/>
      <c r="L28" s="31"/>
      <c r="M28" s="43"/>
      <c r="N28" s="42"/>
    </row>
    <row r="29" spans="1:14" ht="20.100000000000001" customHeight="1" x14ac:dyDescent="0.25">
      <c r="D29" s="30"/>
      <c r="E29" s="30"/>
      <c r="F29" s="30"/>
      <c r="G29" s="65"/>
      <c r="H29" s="65"/>
      <c r="I29" s="65"/>
      <c r="J29" s="30"/>
      <c r="K29" s="30"/>
      <c r="L29" s="31"/>
      <c r="M29" s="43"/>
      <c r="N29" s="42"/>
    </row>
    <row r="30" spans="1:14" ht="20.100000000000001" customHeight="1" x14ac:dyDescent="0.25">
      <c r="D30" s="162"/>
      <c r="E30" s="162"/>
      <c r="F30" s="32"/>
      <c r="G30" s="66"/>
      <c r="H30" s="66"/>
      <c r="I30" s="66"/>
      <c r="J30" s="32"/>
      <c r="K30" s="32"/>
      <c r="L30" s="32"/>
      <c r="N30" s="46"/>
    </row>
    <row r="31" spans="1:14" ht="20.100000000000001" customHeight="1" x14ac:dyDescent="0.25"/>
    <row r="32" spans="1:14" ht="20.100000000000001" customHeight="1" x14ac:dyDescent="0.25"/>
    <row r="33" spans="7:14" ht="20.100000000000001" customHeight="1" x14ac:dyDescent="0.25"/>
    <row r="34" spans="7:14" s="6" customFormat="1" ht="20.100000000000001" customHeight="1" x14ac:dyDescent="0.25">
      <c r="G34" s="56"/>
      <c r="H34" s="56"/>
      <c r="I34" s="56"/>
      <c r="J34" s="18"/>
      <c r="K34" s="18"/>
      <c r="L34" s="18"/>
      <c r="M34" s="18"/>
      <c r="N34"/>
    </row>
    <row r="35" spans="7:14" s="6" customFormat="1" ht="20.100000000000001" customHeight="1" x14ac:dyDescent="0.25">
      <c r="G35" s="56"/>
      <c r="H35" s="56"/>
      <c r="I35" s="56"/>
      <c r="J35" s="18"/>
      <c r="K35" s="18"/>
      <c r="L35" s="18"/>
      <c r="M35" s="18"/>
      <c r="N35"/>
    </row>
    <row r="36" spans="7:14" s="6" customFormat="1" ht="20.100000000000001" customHeight="1" x14ac:dyDescent="0.25">
      <c r="G36" s="56"/>
      <c r="H36" s="56"/>
      <c r="I36" s="56"/>
      <c r="J36" s="18"/>
      <c r="K36" s="18"/>
      <c r="L36" s="18"/>
      <c r="M36" s="18"/>
      <c r="N36"/>
    </row>
    <row r="37" spans="7:14" s="6" customFormat="1" ht="20.100000000000001" customHeight="1" x14ac:dyDescent="0.25">
      <c r="G37" s="56"/>
      <c r="H37" s="56"/>
      <c r="I37" s="56"/>
      <c r="J37" s="18"/>
      <c r="K37" s="18"/>
      <c r="L37" s="18"/>
      <c r="M37" s="18"/>
      <c r="N37"/>
    </row>
    <row r="38" spans="7:14" s="6" customFormat="1" ht="20.100000000000001" customHeight="1" x14ac:dyDescent="0.25">
      <c r="G38" s="56"/>
      <c r="H38" s="56"/>
      <c r="I38" s="56"/>
      <c r="J38" s="18"/>
      <c r="K38" s="18"/>
      <c r="L38" s="18"/>
      <c r="M38" s="18"/>
      <c r="N38"/>
    </row>
    <row r="39" spans="7:14" s="6" customFormat="1" ht="20.100000000000001" customHeight="1" x14ac:dyDescent="0.25">
      <c r="G39" s="56"/>
      <c r="H39" s="56"/>
      <c r="I39" s="56"/>
      <c r="J39" s="18"/>
      <c r="K39" s="18"/>
      <c r="L39" s="18"/>
      <c r="M39" s="18"/>
      <c r="N39"/>
    </row>
    <row r="40" spans="7:14" s="6" customFormat="1" ht="20.100000000000001" customHeight="1" x14ac:dyDescent="0.25">
      <c r="G40" s="56"/>
      <c r="H40" s="56"/>
      <c r="I40" s="56"/>
      <c r="J40" s="18"/>
      <c r="K40" s="18"/>
      <c r="L40" s="18"/>
      <c r="M40" s="18"/>
      <c r="N40"/>
    </row>
    <row r="41" spans="7:14" s="6" customFormat="1" ht="20.100000000000001" customHeight="1" x14ac:dyDescent="0.25">
      <c r="G41" s="56"/>
      <c r="H41" s="56"/>
      <c r="I41" s="56"/>
      <c r="J41" s="18"/>
      <c r="K41" s="18"/>
      <c r="L41" s="18"/>
      <c r="M41" s="18"/>
      <c r="N41"/>
    </row>
    <row r="42" spans="7:14" s="6" customFormat="1" ht="20.100000000000001" customHeight="1" x14ac:dyDescent="0.25">
      <c r="G42" s="56"/>
      <c r="H42" s="56"/>
      <c r="I42" s="56"/>
      <c r="J42" s="18"/>
      <c r="K42" s="18"/>
      <c r="L42" s="18"/>
      <c r="M42" s="18"/>
      <c r="N42"/>
    </row>
    <row r="43" spans="7:14" s="6" customFormat="1" ht="20.100000000000001" customHeight="1" x14ac:dyDescent="0.25">
      <c r="G43" s="56"/>
      <c r="H43" s="56"/>
      <c r="I43" s="56"/>
      <c r="J43" s="18"/>
      <c r="K43" s="18"/>
      <c r="L43" s="18"/>
      <c r="M43" s="18"/>
      <c r="N43"/>
    </row>
    <row r="44" spans="7:14" s="6" customFormat="1" ht="20.100000000000001" customHeight="1" x14ac:dyDescent="0.25">
      <c r="G44" s="56"/>
      <c r="H44" s="56"/>
      <c r="I44" s="56"/>
      <c r="J44" s="18"/>
      <c r="K44" s="18"/>
      <c r="L44" s="18"/>
      <c r="M44" s="18"/>
      <c r="N44"/>
    </row>
    <row r="45" spans="7:14" s="6" customFormat="1" ht="20.100000000000001" customHeight="1" x14ac:dyDescent="0.25">
      <c r="G45" s="56"/>
      <c r="H45" s="56"/>
      <c r="I45" s="56"/>
      <c r="J45" s="18"/>
      <c r="K45" s="18"/>
      <c r="L45" s="18"/>
      <c r="M45" s="18"/>
      <c r="N45"/>
    </row>
    <row r="46" spans="7:14" s="6" customFormat="1" ht="20.100000000000001" customHeight="1" x14ac:dyDescent="0.25">
      <c r="G46" s="56"/>
      <c r="H46" s="56"/>
      <c r="I46" s="56"/>
      <c r="J46" s="18"/>
      <c r="K46" s="18"/>
      <c r="L46" s="18"/>
      <c r="M46" s="18"/>
      <c r="N46"/>
    </row>
    <row r="47" spans="7:14" s="6" customFormat="1" ht="20.100000000000001" customHeight="1" x14ac:dyDescent="0.25">
      <c r="G47" s="56"/>
      <c r="H47" s="56"/>
      <c r="I47" s="56"/>
      <c r="J47" s="18"/>
      <c r="K47" s="18"/>
      <c r="L47" s="18"/>
      <c r="M47" s="18"/>
      <c r="N47"/>
    </row>
    <row r="48" spans="7:14" s="6" customFormat="1" ht="20.100000000000001" customHeight="1" x14ac:dyDescent="0.25">
      <c r="G48" s="56"/>
      <c r="H48" s="56"/>
      <c r="I48" s="56"/>
      <c r="J48" s="18"/>
      <c r="K48" s="18"/>
      <c r="L48" s="18"/>
      <c r="M48" s="18"/>
      <c r="N48"/>
    </row>
    <row r="49" spans="7:14" s="6" customFormat="1" ht="20.100000000000001" customHeight="1" x14ac:dyDescent="0.25">
      <c r="G49" s="56"/>
      <c r="H49" s="56"/>
      <c r="I49" s="56"/>
      <c r="J49" s="18"/>
      <c r="K49" s="18"/>
      <c r="L49" s="18"/>
      <c r="M49" s="18"/>
      <c r="N49"/>
    </row>
    <row r="50" spans="7:14" s="6" customFormat="1" ht="20.100000000000001" customHeight="1" x14ac:dyDescent="0.25">
      <c r="G50" s="56"/>
      <c r="H50" s="56"/>
      <c r="I50" s="56"/>
      <c r="J50" s="18"/>
      <c r="K50" s="18"/>
      <c r="L50" s="18"/>
      <c r="M50" s="18"/>
      <c r="N50"/>
    </row>
    <row r="51" spans="7:14" s="6" customFormat="1" ht="20.100000000000001" customHeight="1" x14ac:dyDescent="0.25">
      <c r="G51" s="56"/>
      <c r="H51" s="56"/>
      <c r="I51" s="56"/>
      <c r="J51" s="18"/>
      <c r="K51" s="18"/>
      <c r="L51" s="18"/>
      <c r="M51" s="18"/>
      <c r="N51"/>
    </row>
    <row r="52" spans="7:14" s="6" customFormat="1" ht="20.100000000000001" customHeight="1" x14ac:dyDescent="0.25">
      <c r="G52" s="56"/>
      <c r="H52" s="56"/>
      <c r="I52" s="56"/>
      <c r="J52" s="18"/>
      <c r="K52" s="18"/>
      <c r="L52" s="18"/>
      <c r="M52" s="18"/>
      <c r="N52"/>
    </row>
    <row r="53" spans="7:14" s="6" customFormat="1" ht="20.100000000000001" customHeight="1" x14ac:dyDescent="0.25">
      <c r="G53" s="56"/>
      <c r="H53" s="56"/>
      <c r="I53" s="56"/>
      <c r="J53" s="18"/>
      <c r="K53" s="18"/>
      <c r="L53" s="18"/>
      <c r="M53" s="18"/>
      <c r="N53"/>
    </row>
    <row r="54" spans="7:14" s="6" customFormat="1" ht="20.100000000000001" customHeight="1" x14ac:dyDescent="0.25">
      <c r="G54" s="56"/>
      <c r="H54" s="56"/>
      <c r="I54" s="56"/>
      <c r="J54" s="18"/>
      <c r="K54" s="18"/>
      <c r="L54" s="18"/>
      <c r="M54" s="18"/>
      <c r="N54"/>
    </row>
    <row r="55" spans="7:14" s="6" customFormat="1" ht="20.100000000000001" customHeight="1" x14ac:dyDescent="0.25">
      <c r="G55" s="56"/>
      <c r="H55" s="56"/>
      <c r="I55" s="56"/>
      <c r="J55" s="18"/>
      <c r="K55" s="18"/>
      <c r="L55" s="18"/>
      <c r="M55" s="18"/>
      <c r="N55"/>
    </row>
    <row r="56" spans="7:14" s="6" customFormat="1" ht="20.100000000000001" customHeight="1" x14ac:dyDescent="0.25">
      <c r="G56" s="56"/>
      <c r="H56" s="56"/>
      <c r="I56" s="56"/>
      <c r="J56" s="18"/>
      <c r="K56" s="18"/>
      <c r="L56" s="18"/>
      <c r="M56" s="18"/>
      <c r="N56"/>
    </row>
    <row r="57" spans="7:14" s="6" customFormat="1" ht="20.100000000000001" customHeight="1" x14ac:dyDescent="0.25">
      <c r="G57" s="56"/>
      <c r="H57" s="56"/>
      <c r="I57" s="56"/>
      <c r="J57" s="18"/>
      <c r="K57" s="18"/>
      <c r="L57" s="18"/>
      <c r="M57" s="18"/>
      <c r="N57"/>
    </row>
    <row r="58" spans="7:14" s="6" customFormat="1" ht="20.100000000000001" customHeight="1" x14ac:dyDescent="0.25">
      <c r="G58" s="56"/>
      <c r="H58" s="56"/>
      <c r="I58" s="56"/>
      <c r="J58" s="18"/>
      <c r="K58" s="18"/>
      <c r="L58" s="18"/>
      <c r="M58" s="18"/>
      <c r="N58"/>
    </row>
    <row r="59" spans="7:14" s="6" customFormat="1" ht="20.100000000000001" customHeight="1" x14ac:dyDescent="0.25">
      <c r="G59" s="56"/>
      <c r="H59" s="56"/>
      <c r="I59" s="56"/>
      <c r="J59" s="18"/>
      <c r="K59" s="18"/>
      <c r="L59" s="18"/>
      <c r="M59" s="18"/>
      <c r="N59"/>
    </row>
    <row r="60" spans="7:14" s="6" customFormat="1" ht="20.100000000000001" customHeight="1" x14ac:dyDescent="0.25">
      <c r="G60" s="56"/>
      <c r="H60" s="56"/>
      <c r="I60" s="56"/>
      <c r="J60" s="18"/>
      <c r="K60" s="18"/>
      <c r="L60" s="18"/>
      <c r="M60" s="18"/>
      <c r="N60"/>
    </row>
    <row r="61" spans="7:14" s="6" customFormat="1" ht="20.100000000000001" customHeight="1" x14ac:dyDescent="0.25">
      <c r="G61" s="56"/>
      <c r="H61" s="56"/>
      <c r="I61" s="56"/>
      <c r="J61" s="18"/>
      <c r="K61" s="18"/>
      <c r="L61" s="18"/>
      <c r="M61" s="18"/>
      <c r="N61"/>
    </row>
    <row r="62" spans="7:14" s="6" customFormat="1" ht="20.100000000000001" customHeight="1" x14ac:dyDescent="0.25">
      <c r="G62" s="56"/>
      <c r="H62" s="56"/>
      <c r="I62" s="56"/>
      <c r="J62" s="18"/>
      <c r="K62" s="18"/>
      <c r="L62" s="18"/>
      <c r="M62" s="18"/>
      <c r="N62"/>
    </row>
    <row r="63" spans="7:14" s="6" customFormat="1" ht="20.100000000000001" customHeight="1" x14ac:dyDescent="0.25">
      <c r="G63" s="56"/>
      <c r="H63" s="56"/>
      <c r="I63" s="56"/>
      <c r="J63" s="18"/>
      <c r="K63" s="18"/>
      <c r="L63" s="18"/>
      <c r="M63" s="18"/>
      <c r="N63"/>
    </row>
    <row r="64" spans="7:14" s="6" customFormat="1" ht="20.100000000000001" customHeight="1" x14ac:dyDescent="0.25">
      <c r="G64" s="56"/>
      <c r="H64" s="56"/>
      <c r="I64" s="56"/>
      <c r="J64" s="18"/>
      <c r="K64" s="18"/>
      <c r="L64" s="18"/>
      <c r="M64" s="18"/>
      <c r="N64"/>
    </row>
    <row r="65" spans="7:14" s="6" customFormat="1" ht="20.100000000000001" customHeight="1" x14ac:dyDescent="0.25">
      <c r="G65" s="56"/>
      <c r="H65" s="56"/>
      <c r="I65" s="56"/>
      <c r="J65" s="18"/>
      <c r="K65" s="18"/>
      <c r="L65" s="18"/>
      <c r="M65" s="18"/>
      <c r="N65"/>
    </row>
    <row r="66" spans="7:14" s="6" customFormat="1" ht="20.100000000000001" customHeight="1" x14ac:dyDescent="0.25">
      <c r="G66" s="56"/>
      <c r="H66" s="56"/>
      <c r="I66" s="56"/>
      <c r="J66" s="18"/>
      <c r="K66" s="18"/>
      <c r="L66" s="18"/>
      <c r="M66" s="18"/>
      <c r="N66"/>
    </row>
    <row r="67" spans="7:14" s="6" customFormat="1" ht="20.100000000000001" customHeight="1" x14ac:dyDescent="0.25">
      <c r="G67" s="56"/>
      <c r="H67" s="56"/>
      <c r="I67" s="56"/>
      <c r="J67" s="18"/>
      <c r="K67" s="18"/>
      <c r="L67" s="18"/>
      <c r="M67" s="18"/>
      <c r="N67"/>
    </row>
    <row r="68" spans="7:14" s="6" customFormat="1" ht="20.100000000000001" customHeight="1" x14ac:dyDescent="0.25">
      <c r="G68" s="56"/>
      <c r="H68" s="56"/>
      <c r="I68" s="56"/>
      <c r="J68" s="18"/>
      <c r="K68" s="18"/>
      <c r="L68" s="18"/>
      <c r="M68" s="18"/>
      <c r="N68"/>
    </row>
    <row r="69" spans="7:14" s="6" customFormat="1" ht="20.100000000000001" customHeight="1" x14ac:dyDescent="0.25">
      <c r="G69" s="56"/>
      <c r="H69" s="56"/>
      <c r="I69" s="56"/>
      <c r="J69" s="18"/>
      <c r="K69" s="18"/>
      <c r="L69" s="18"/>
      <c r="M69" s="18"/>
      <c r="N69"/>
    </row>
    <row r="70" spans="7:14" s="6" customFormat="1" ht="20.100000000000001" customHeight="1" x14ac:dyDescent="0.25">
      <c r="G70" s="56"/>
      <c r="H70" s="56"/>
      <c r="I70" s="56"/>
      <c r="J70" s="18"/>
      <c r="K70" s="18"/>
      <c r="L70" s="18"/>
      <c r="M70" s="18"/>
      <c r="N70"/>
    </row>
    <row r="71" spans="7:14" s="6" customFormat="1" ht="20.100000000000001" customHeight="1" x14ac:dyDescent="0.25">
      <c r="G71" s="56"/>
      <c r="H71" s="56"/>
      <c r="I71" s="56"/>
      <c r="J71" s="18"/>
      <c r="K71" s="18"/>
      <c r="L71" s="18"/>
      <c r="M71" s="18"/>
      <c r="N71"/>
    </row>
    <row r="72" spans="7:14" s="6" customFormat="1" ht="20.100000000000001" customHeight="1" x14ac:dyDescent="0.25">
      <c r="G72" s="56"/>
      <c r="H72" s="56"/>
      <c r="I72" s="56"/>
      <c r="J72" s="18"/>
      <c r="K72" s="18"/>
      <c r="L72" s="18"/>
      <c r="M72" s="18"/>
      <c r="N72"/>
    </row>
    <row r="73" spans="7:14" s="6" customFormat="1" ht="20.100000000000001" customHeight="1" x14ac:dyDescent="0.25">
      <c r="G73" s="56"/>
      <c r="H73" s="56"/>
      <c r="I73" s="56"/>
      <c r="J73" s="18"/>
      <c r="K73" s="18"/>
      <c r="L73" s="18"/>
      <c r="M73" s="18"/>
      <c r="N73"/>
    </row>
    <row r="74" spans="7:14" s="6" customFormat="1" ht="20.100000000000001" customHeight="1" x14ac:dyDescent="0.25">
      <c r="G74" s="56"/>
      <c r="H74" s="56"/>
      <c r="I74" s="56"/>
      <c r="J74" s="18"/>
      <c r="K74" s="18"/>
      <c r="L74" s="18"/>
      <c r="M74" s="18"/>
      <c r="N74"/>
    </row>
    <row r="75" spans="7:14" s="6" customFormat="1" ht="20.100000000000001" customHeight="1" x14ac:dyDescent="0.25">
      <c r="G75" s="56"/>
      <c r="H75" s="56"/>
      <c r="I75" s="56"/>
      <c r="J75" s="18"/>
      <c r="K75" s="18"/>
      <c r="L75" s="18"/>
      <c r="M75" s="18"/>
      <c r="N75"/>
    </row>
    <row r="76" spans="7:14" s="6" customFormat="1" ht="20.100000000000001" customHeight="1" x14ac:dyDescent="0.25">
      <c r="G76" s="56"/>
      <c r="H76" s="56"/>
      <c r="I76" s="56"/>
      <c r="J76" s="18"/>
      <c r="K76" s="18"/>
      <c r="L76" s="18"/>
      <c r="M76" s="18"/>
      <c r="N76"/>
    </row>
    <row r="77" spans="7:14" s="6" customFormat="1" ht="20.100000000000001" customHeight="1" x14ac:dyDescent="0.25">
      <c r="G77" s="56"/>
      <c r="H77" s="56"/>
      <c r="I77" s="56"/>
      <c r="J77" s="18"/>
      <c r="K77" s="18"/>
      <c r="L77" s="18"/>
      <c r="M77" s="18"/>
      <c r="N77"/>
    </row>
    <row r="78" spans="7:14" s="6" customFormat="1" ht="20.100000000000001" customHeight="1" x14ac:dyDescent="0.25">
      <c r="G78" s="56"/>
      <c r="H78" s="56"/>
      <c r="I78" s="56"/>
      <c r="J78" s="18"/>
      <c r="K78" s="18"/>
      <c r="L78" s="18"/>
      <c r="M78" s="18"/>
      <c r="N78"/>
    </row>
    <row r="79" spans="7:14" s="6" customFormat="1" ht="20.100000000000001" customHeight="1" x14ac:dyDescent="0.25">
      <c r="G79" s="56"/>
      <c r="H79" s="56"/>
      <c r="I79" s="56"/>
      <c r="J79" s="18"/>
      <c r="K79" s="18"/>
      <c r="L79" s="18"/>
      <c r="M79" s="18"/>
      <c r="N79"/>
    </row>
    <row r="80" spans="7:14" s="6" customFormat="1" ht="20.100000000000001" customHeight="1" x14ac:dyDescent="0.25">
      <c r="G80" s="56"/>
      <c r="H80" s="56"/>
      <c r="I80" s="56"/>
      <c r="J80" s="18"/>
      <c r="K80" s="18"/>
      <c r="L80" s="18"/>
      <c r="M80" s="18"/>
      <c r="N80"/>
    </row>
    <row r="81" spans="7:14" s="6" customFormat="1" ht="20.100000000000001" customHeight="1" x14ac:dyDescent="0.25">
      <c r="G81" s="56"/>
      <c r="H81" s="56"/>
      <c r="I81" s="56"/>
      <c r="J81" s="18"/>
      <c r="K81" s="18"/>
      <c r="L81" s="18"/>
      <c r="M81" s="18"/>
      <c r="N81"/>
    </row>
    <row r="82" spans="7:14" s="6" customFormat="1" ht="20.100000000000001" customHeight="1" x14ac:dyDescent="0.25">
      <c r="G82" s="56"/>
      <c r="H82" s="56"/>
      <c r="I82" s="56"/>
      <c r="J82" s="18"/>
      <c r="K82" s="18"/>
      <c r="L82" s="18"/>
      <c r="M82" s="18"/>
      <c r="N82"/>
    </row>
    <row r="83" spans="7:14" s="6" customFormat="1" ht="20.100000000000001" customHeight="1" x14ac:dyDescent="0.25">
      <c r="G83" s="56"/>
      <c r="H83" s="56"/>
      <c r="I83" s="56"/>
      <c r="J83" s="18"/>
      <c r="K83" s="18"/>
      <c r="L83" s="18"/>
      <c r="M83" s="18"/>
      <c r="N83"/>
    </row>
    <row r="84" spans="7:14" s="6" customFormat="1" ht="20.100000000000001" customHeight="1" x14ac:dyDescent="0.25">
      <c r="G84" s="56"/>
      <c r="H84" s="56"/>
      <c r="I84" s="56"/>
      <c r="J84" s="18"/>
      <c r="K84" s="18"/>
      <c r="L84" s="18"/>
      <c r="M84" s="18"/>
      <c r="N84"/>
    </row>
    <row r="85" spans="7:14" s="6" customFormat="1" ht="20.100000000000001" customHeight="1" x14ac:dyDescent="0.25">
      <c r="G85" s="56"/>
      <c r="H85" s="56"/>
      <c r="I85" s="56"/>
      <c r="J85" s="18"/>
      <c r="K85" s="18"/>
      <c r="L85" s="18"/>
      <c r="M85" s="18"/>
      <c r="N85"/>
    </row>
    <row r="86" spans="7:14" s="6" customFormat="1" ht="20.100000000000001" customHeight="1" x14ac:dyDescent="0.25">
      <c r="G86" s="56"/>
      <c r="H86" s="56"/>
      <c r="I86" s="56"/>
      <c r="J86" s="18"/>
      <c r="K86" s="18"/>
      <c r="L86" s="18"/>
      <c r="M86" s="18"/>
      <c r="N86"/>
    </row>
    <row r="87" spans="7:14" s="6" customFormat="1" ht="20.100000000000001" customHeight="1" x14ac:dyDescent="0.25">
      <c r="G87" s="56"/>
      <c r="H87" s="56"/>
      <c r="I87" s="56"/>
      <c r="J87" s="18"/>
      <c r="K87" s="18"/>
      <c r="L87" s="18"/>
      <c r="M87" s="18"/>
      <c r="N87"/>
    </row>
    <row r="88" spans="7:14" s="6" customFormat="1" ht="20.100000000000001" customHeight="1" x14ac:dyDescent="0.25">
      <c r="G88" s="56"/>
      <c r="H88" s="56"/>
      <c r="I88" s="56"/>
      <c r="J88" s="18"/>
      <c r="K88" s="18"/>
      <c r="L88" s="18"/>
      <c r="M88" s="18"/>
      <c r="N88"/>
    </row>
    <row r="89" spans="7:14" s="6" customFormat="1" ht="20.100000000000001" customHeight="1" x14ac:dyDescent="0.25">
      <c r="G89" s="56"/>
      <c r="H89" s="56"/>
      <c r="I89" s="56"/>
      <c r="J89" s="18"/>
      <c r="K89" s="18"/>
      <c r="L89" s="18"/>
      <c r="M89" s="18"/>
      <c r="N89"/>
    </row>
    <row r="90" spans="7:14" s="6" customFormat="1" ht="20.100000000000001" customHeight="1" x14ac:dyDescent="0.25">
      <c r="G90" s="56"/>
      <c r="H90" s="56"/>
      <c r="I90" s="56"/>
      <c r="J90" s="18"/>
      <c r="K90" s="18"/>
      <c r="L90" s="18"/>
      <c r="M90" s="18"/>
      <c r="N90"/>
    </row>
    <row r="91" spans="7:14" s="6" customFormat="1" ht="20.100000000000001" customHeight="1" x14ac:dyDescent="0.25">
      <c r="G91" s="56"/>
      <c r="H91" s="56"/>
      <c r="I91" s="56"/>
      <c r="J91" s="18"/>
      <c r="K91" s="18"/>
      <c r="L91" s="18"/>
      <c r="M91" s="18"/>
      <c r="N91"/>
    </row>
    <row r="92" spans="7:14" s="6" customFormat="1" ht="20.100000000000001" customHeight="1" x14ac:dyDescent="0.25">
      <c r="G92" s="56"/>
      <c r="H92" s="56"/>
      <c r="I92" s="56"/>
      <c r="J92" s="18"/>
      <c r="K92" s="18"/>
      <c r="L92" s="18"/>
      <c r="M92" s="18"/>
      <c r="N92"/>
    </row>
    <row r="93" spans="7:14" s="6" customFormat="1" ht="20.100000000000001" customHeight="1" x14ac:dyDescent="0.25">
      <c r="G93" s="56"/>
      <c r="H93" s="56"/>
      <c r="I93" s="56"/>
      <c r="J93" s="18"/>
      <c r="K93" s="18"/>
      <c r="L93" s="18"/>
      <c r="M93" s="18"/>
      <c r="N93"/>
    </row>
    <row r="94" spans="7:14" s="6" customFormat="1" ht="20.100000000000001" customHeight="1" x14ac:dyDescent="0.25">
      <c r="G94" s="56"/>
      <c r="H94" s="56"/>
      <c r="I94" s="56"/>
      <c r="J94" s="18"/>
      <c r="K94" s="18"/>
      <c r="L94" s="18"/>
      <c r="M94" s="18"/>
      <c r="N94"/>
    </row>
    <row r="95" spans="7:14" s="6" customFormat="1" ht="20.100000000000001" customHeight="1" x14ac:dyDescent="0.25">
      <c r="G95" s="56"/>
      <c r="H95" s="56"/>
      <c r="I95" s="56"/>
      <c r="J95" s="18"/>
      <c r="K95" s="18"/>
      <c r="L95" s="18"/>
      <c r="M95" s="18"/>
      <c r="N95"/>
    </row>
    <row r="96" spans="7:14" s="6" customFormat="1" ht="20.100000000000001" customHeight="1" x14ac:dyDescent="0.25">
      <c r="G96" s="56"/>
      <c r="H96" s="56"/>
      <c r="I96" s="56"/>
      <c r="J96" s="18"/>
      <c r="K96" s="18"/>
      <c r="L96" s="18"/>
      <c r="M96" s="18"/>
      <c r="N96"/>
    </row>
    <row r="97" spans="7:14" s="6" customFormat="1" ht="20.100000000000001" customHeight="1" x14ac:dyDescent="0.25">
      <c r="G97" s="56"/>
      <c r="H97" s="56"/>
      <c r="I97" s="56"/>
      <c r="J97" s="18"/>
      <c r="K97" s="18"/>
      <c r="L97" s="18"/>
      <c r="M97" s="18"/>
      <c r="N97"/>
    </row>
    <row r="98" spans="7:14" s="6" customFormat="1" ht="20.100000000000001" customHeight="1" x14ac:dyDescent="0.25">
      <c r="G98" s="56"/>
      <c r="H98" s="56"/>
      <c r="I98" s="56"/>
      <c r="J98" s="18"/>
      <c r="K98" s="18"/>
      <c r="L98" s="18"/>
      <c r="M98" s="18"/>
      <c r="N98"/>
    </row>
    <row r="99" spans="7:14" s="6" customFormat="1" ht="20.100000000000001" customHeight="1" x14ac:dyDescent="0.25">
      <c r="G99" s="56"/>
      <c r="H99" s="56"/>
      <c r="I99" s="56"/>
      <c r="J99" s="18"/>
      <c r="K99" s="18"/>
      <c r="L99" s="18"/>
      <c r="M99" s="18"/>
      <c r="N99"/>
    </row>
    <row r="100" spans="7:14" s="6" customFormat="1" ht="20.100000000000001" customHeight="1" x14ac:dyDescent="0.25">
      <c r="G100" s="56"/>
      <c r="H100" s="56"/>
      <c r="I100" s="56"/>
      <c r="J100" s="18"/>
      <c r="K100" s="18"/>
      <c r="L100" s="18"/>
      <c r="M100" s="18"/>
      <c r="N100"/>
    </row>
    <row r="101" spans="7:14" s="6" customFormat="1" ht="20.100000000000001" customHeight="1" x14ac:dyDescent="0.25">
      <c r="G101" s="56"/>
      <c r="H101" s="56"/>
      <c r="I101" s="56"/>
      <c r="J101" s="18"/>
      <c r="K101" s="18"/>
      <c r="L101" s="18"/>
      <c r="M101" s="18"/>
      <c r="N101"/>
    </row>
    <row r="102" spans="7:14" s="6" customFormat="1" ht="20.100000000000001" customHeight="1" x14ac:dyDescent="0.25">
      <c r="G102" s="56"/>
      <c r="H102" s="56"/>
      <c r="I102" s="56"/>
      <c r="J102" s="18"/>
      <c r="K102" s="18"/>
      <c r="L102" s="18"/>
      <c r="M102" s="18"/>
      <c r="N102"/>
    </row>
    <row r="103" spans="7:14" s="6" customFormat="1" ht="20.100000000000001" customHeight="1" x14ac:dyDescent="0.25">
      <c r="G103" s="56"/>
      <c r="H103" s="56"/>
      <c r="I103" s="56"/>
      <c r="J103" s="18"/>
      <c r="K103" s="18"/>
      <c r="L103" s="18"/>
      <c r="M103" s="18"/>
      <c r="N103"/>
    </row>
    <row r="104" spans="7:14" s="6" customFormat="1" ht="20.100000000000001" customHeight="1" x14ac:dyDescent="0.25">
      <c r="G104" s="56"/>
      <c r="H104" s="56"/>
      <c r="I104" s="56"/>
      <c r="J104" s="18"/>
      <c r="K104" s="18"/>
      <c r="L104" s="18"/>
      <c r="M104" s="18"/>
      <c r="N104"/>
    </row>
    <row r="105" spans="7:14" s="6" customFormat="1" ht="20.100000000000001" customHeight="1" x14ac:dyDescent="0.25">
      <c r="G105" s="56"/>
      <c r="H105" s="56"/>
      <c r="I105" s="56"/>
      <c r="J105" s="18"/>
      <c r="K105" s="18"/>
      <c r="L105" s="18"/>
      <c r="M105" s="18"/>
      <c r="N105"/>
    </row>
    <row r="106" spans="7:14" s="6" customFormat="1" ht="20.100000000000001" customHeight="1" x14ac:dyDescent="0.25">
      <c r="G106" s="56"/>
      <c r="H106" s="56"/>
      <c r="I106" s="56"/>
      <c r="J106" s="18"/>
      <c r="K106" s="18"/>
      <c r="L106" s="18"/>
      <c r="M106" s="18"/>
      <c r="N106"/>
    </row>
    <row r="107" spans="7:14" s="6" customFormat="1" ht="20.100000000000001" customHeight="1" x14ac:dyDescent="0.25">
      <c r="G107" s="56"/>
      <c r="H107" s="56"/>
      <c r="I107" s="56"/>
      <c r="J107" s="18"/>
      <c r="K107" s="18"/>
      <c r="L107" s="18"/>
      <c r="M107" s="18"/>
      <c r="N107"/>
    </row>
    <row r="108" spans="7:14" s="6" customFormat="1" ht="20.100000000000001" customHeight="1" x14ac:dyDescent="0.25">
      <c r="G108" s="56"/>
      <c r="H108" s="56"/>
      <c r="I108" s="56"/>
      <c r="J108" s="18"/>
      <c r="K108" s="18"/>
      <c r="L108" s="18"/>
      <c r="M108" s="18"/>
      <c r="N108"/>
    </row>
    <row r="109" spans="7:14" s="6" customFormat="1" ht="20.100000000000001" customHeight="1" x14ac:dyDescent="0.25">
      <c r="G109" s="56"/>
      <c r="H109" s="56"/>
      <c r="I109" s="56"/>
      <c r="J109" s="18"/>
      <c r="K109" s="18"/>
      <c r="L109" s="18"/>
      <c r="M109" s="18"/>
      <c r="N109"/>
    </row>
    <row r="110" spans="7:14" s="6" customFormat="1" ht="20.100000000000001" customHeight="1" x14ac:dyDescent="0.25">
      <c r="G110" s="56"/>
      <c r="H110" s="56"/>
      <c r="I110" s="56"/>
      <c r="J110" s="18"/>
      <c r="K110" s="18"/>
      <c r="L110" s="18"/>
      <c r="M110" s="18"/>
      <c r="N110"/>
    </row>
    <row r="111" spans="7:14" s="6" customFormat="1" ht="20.100000000000001" customHeight="1" x14ac:dyDescent="0.25">
      <c r="G111" s="56"/>
      <c r="H111" s="56"/>
      <c r="I111" s="56"/>
      <c r="J111" s="18"/>
      <c r="K111" s="18"/>
      <c r="L111" s="18"/>
      <c r="M111" s="18"/>
      <c r="N111"/>
    </row>
    <row r="112" spans="7:14" s="6" customFormat="1" ht="20.100000000000001" customHeight="1" x14ac:dyDescent="0.25">
      <c r="G112" s="56"/>
      <c r="H112" s="56"/>
      <c r="I112" s="56"/>
      <c r="J112" s="18"/>
      <c r="K112" s="18"/>
      <c r="L112" s="18"/>
      <c r="M112" s="18"/>
      <c r="N112"/>
    </row>
    <row r="113" spans="7:14" s="6" customFormat="1" ht="20.100000000000001" customHeight="1" x14ac:dyDescent="0.25">
      <c r="G113" s="56"/>
      <c r="H113" s="56"/>
      <c r="I113" s="56"/>
      <c r="J113" s="18"/>
      <c r="K113" s="18"/>
      <c r="L113" s="18"/>
      <c r="M113" s="18"/>
      <c r="N113"/>
    </row>
    <row r="114" spans="7:14" s="6" customFormat="1" ht="20.100000000000001" customHeight="1" x14ac:dyDescent="0.25">
      <c r="G114" s="56"/>
      <c r="H114" s="56"/>
      <c r="I114" s="56"/>
      <c r="J114" s="18"/>
      <c r="K114" s="18"/>
      <c r="L114" s="18"/>
      <c r="M114" s="18"/>
      <c r="N114"/>
    </row>
    <row r="115" spans="7:14" s="6" customFormat="1" ht="20.100000000000001" customHeight="1" x14ac:dyDescent="0.25">
      <c r="G115" s="56"/>
      <c r="H115" s="56"/>
      <c r="I115" s="56"/>
      <c r="J115" s="18"/>
      <c r="K115" s="18"/>
      <c r="L115" s="18"/>
      <c r="M115" s="18"/>
      <c r="N115"/>
    </row>
    <row r="116" spans="7:14" s="6" customFormat="1" ht="20.100000000000001" customHeight="1" x14ac:dyDescent="0.25">
      <c r="G116" s="56"/>
      <c r="H116" s="56"/>
      <c r="I116" s="56"/>
      <c r="J116" s="18"/>
      <c r="K116" s="18"/>
      <c r="L116" s="18"/>
      <c r="M116" s="18"/>
      <c r="N116"/>
    </row>
    <row r="117" spans="7:14" s="6" customFormat="1" ht="20.100000000000001" customHeight="1" x14ac:dyDescent="0.25">
      <c r="G117" s="56"/>
      <c r="H117" s="56"/>
      <c r="I117" s="56"/>
      <c r="J117" s="18"/>
      <c r="K117" s="18"/>
      <c r="L117" s="18"/>
      <c r="M117" s="18"/>
      <c r="N117"/>
    </row>
    <row r="118" spans="7:14" s="6" customFormat="1" ht="20.100000000000001" customHeight="1" x14ac:dyDescent="0.25">
      <c r="G118" s="56"/>
      <c r="H118" s="56"/>
      <c r="I118" s="56"/>
      <c r="J118" s="18"/>
      <c r="K118" s="18"/>
      <c r="L118" s="18"/>
      <c r="M118" s="18"/>
      <c r="N118"/>
    </row>
    <row r="119" spans="7:14" s="6" customFormat="1" ht="20.100000000000001" customHeight="1" x14ac:dyDescent="0.25">
      <c r="G119" s="56"/>
      <c r="H119" s="56"/>
      <c r="I119" s="56"/>
      <c r="J119" s="18"/>
      <c r="K119" s="18"/>
      <c r="L119" s="18"/>
      <c r="M119" s="18"/>
      <c r="N119"/>
    </row>
    <row r="120" spans="7:14" s="6" customFormat="1" ht="20.100000000000001" customHeight="1" x14ac:dyDescent="0.25">
      <c r="G120" s="56"/>
      <c r="H120" s="56"/>
      <c r="I120" s="56"/>
      <c r="J120" s="18"/>
      <c r="K120" s="18"/>
      <c r="L120" s="18"/>
      <c r="M120" s="18"/>
      <c r="N120"/>
    </row>
    <row r="121" spans="7:14" s="6" customFormat="1" ht="20.100000000000001" customHeight="1" x14ac:dyDescent="0.25">
      <c r="G121" s="56"/>
      <c r="H121" s="56"/>
      <c r="I121" s="56"/>
      <c r="J121" s="18"/>
      <c r="K121" s="18"/>
      <c r="L121" s="18"/>
      <c r="M121" s="18"/>
      <c r="N121"/>
    </row>
    <row r="122" spans="7:14" s="6" customFormat="1" ht="20.100000000000001" customHeight="1" x14ac:dyDescent="0.25">
      <c r="G122" s="56"/>
      <c r="H122" s="56"/>
      <c r="I122" s="56"/>
      <c r="J122" s="18"/>
      <c r="K122" s="18"/>
      <c r="L122" s="18"/>
      <c r="M122" s="18"/>
      <c r="N122"/>
    </row>
    <row r="123" spans="7:14" s="6" customFormat="1" ht="20.100000000000001" customHeight="1" x14ac:dyDescent="0.25">
      <c r="G123" s="56"/>
      <c r="H123" s="56"/>
      <c r="I123" s="56"/>
      <c r="J123" s="18"/>
      <c r="K123" s="18"/>
      <c r="L123" s="18"/>
      <c r="M123" s="18"/>
      <c r="N123"/>
    </row>
    <row r="124" spans="7:14" s="6" customFormat="1" ht="20.100000000000001" customHeight="1" x14ac:dyDescent="0.25">
      <c r="G124" s="56"/>
      <c r="H124" s="56"/>
      <c r="I124" s="56"/>
      <c r="J124" s="18"/>
      <c r="K124" s="18"/>
      <c r="L124" s="18"/>
      <c r="M124" s="18"/>
      <c r="N124"/>
    </row>
    <row r="125" spans="7:14" s="6" customFormat="1" ht="20.100000000000001" customHeight="1" x14ac:dyDescent="0.25">
      <c r="G125" s="56"/>
      <c r="H125" s="56"/>
      <c r="I125" s="56"/>
      <c r="J125" s="18"/>
      <c r="K125" s="18"/>
      <c r="L125" s="18"/>
      <c r="M125" s="18"/>
      <c r="N125"/>
    </row>
    <row r="126" spans="7:14" s="6" customFormat="1" ht="20.100000000000001" customHeight="1" x14ac:dyDescent="0.25">
      <c r="G126" s="56"/>
      <c r="H126" s="56"/>
      <c r="I126" s="56"/>
      <c r="J126" s="18"/>
      <c r="K126" s="18"/>
      <c r="L126" s="18"/>
      <c r="M126" s="18"/>
      <c r="N126"/>
    </row>
    <row r="127" spans="7:14" s="6" customFormat="1" ht="20.100000000000001" customHeight="1" x14ac:dyDescent="0.25">
      <c r="G127" s="56"/>
      <c r="H127" s="56"/>
      <c r="I127" s="56"/>
      <c r="J127" s="18"/>
      <c r="K127" s="18"/>
      <c r="L127" s="18"/>
      <c r="M127" s="18"/>
      <c r="N127"/>
    </row>
    <row r="128" spans="7:14" s="6" customFormat="1" ht="20.100000000000001" customHeight="1" x14ac:dyDescent="0.25">
      <c r="G128" s="56"/>
      <c r="H128" s="56"/>
      <c r="I128" s="56"/>
      <c r="J128" s="18"/>
      <c r="K128" s="18"/>
      <c r="L128" s="18"/>
      <c r="M128" s="18"/>
      <c r="N128"/>
    </row>
    <row r="129" spans="7:14" s="6" customFormat="1" ht="20.100000000000001" customHeight="1" x14ac:dyDescent="0.25">
      <c r="G129" s="56"/>
      <c r="H129" s="56"/>
      <c r="I129" s="56"/>
      <c r="J129" s="18"/>
      <c r="K129" s="18"/>
      <c r="L129" s="18"/>
      <c r="M129" s="18"/>
      <c r="N129"/>
    </row>
    <row r="130" spans="7:14" s="6" customFormat="1" ht="20.100000000000001" customHeight="1" x14ac:dyDescent="0.25">
      <c r="G130" s="56"/>
      <c r="H130" s="56"/>
      <c r="I130" s="56"/>
      <c r="J130" s="18"/>
      <c r="K130" s="18"/>
      <c r="L130" s="18"/>
      <c r="M130" s="18"/>
      <c r="N130"/>
    </row>
    <row r="131" spans="7:14" s="6" customFormat="1" ht="20.100000000000001" customHeight="1" x14ac:dyDescent="0.25">
      <c r="G131" s="56"/>
      <c r="H131" s="56"/>
      <c r="I131" s="56"/>
      <c r="J131" s="18"/>
      <c r="K131" s="18"/>
      <c r="L131" s="18"/>
      <c r="M131" s="18"/>
      <c r="N131"/>
    </row>
    <row r="132" spans="7:14" s="6" customFormat="1" ht="20.100000000000001" customHeight="1" x14ac:dyDescent="0.25">
      <c r="G132" s="56"/>
      <c r="H132" s="56"/>
      <c r="I132" s="56"/>
      <c r="J132" s="18"/>
      <c r="K132" s="18"/>
      <c r="L132" s="18"/>
      <c r="M132" s="18"/>
      <c r="N132"/>
    </row>
    <row r="133" spans="7:14" s="6" customFormat="1" ht="20.100000000000001" customHeight="1" x14ac:dyDescent="0.25">
      <c r="G133" s="56"/>
      <c r="H133" s="56"/>
      <c r="I133" s="56"/>
      <c r="J133" s="18"/>
      <c r="K133" s="18"/>
      <c r="L133" s="18"/>
      <c r="M133" s="18"/>
      <c r="N133"/>
    </row>
    <row r="134" spans="7:14" s="6" customFormat="1" ht="20.100000000000001" customHeight="1" x14ac:dyDescent="0.25">
      <c r="G134" s="56"/>
      <c r="H134" s="56"/>
      <c r="I134" s="56"/>
      <c r="J134" s="18"/>
      <c r="K134" s="18"/>
      <c r="L134" s="18"/>
      <c r="M134" s="18"/>
      <c r="N134"/>
    </row>
    <row r="135" spans="7:14" s="6" customFormat="1" ht="20.100000000000001" customHeight="1" x14ac:dyDescent="0.25">
      <c r="G135" s="56"/>
      <c r="H135" s="56"/>
      <c r="I135" s="56"/>
      <c r="J135" s="18"/>
      <c r="K135" s="18"/>
      <c r="L135" s="18"/>
      <c r="M135" s="18"/>
      <c r="N135"/>
    </row>
    <row r="136" spans="7:14" s="6" customFormat="1" ht="20.100000000000001" customHeight="1" x14ac:dyDescent="0.25">
      <c r="G136" s="56"/>
      <c r="H136" s="56"/>
      <c r="I136" s="56"/>
      <c r="J136" s="18"/>
      <c r="K136" s="18"/>
      <c r="L136" s="18"/>
      <c r="M136" s="18"/>
      <c r="N136"/>
    </row>
    <row r="137" spans="7:14" s="6" customFormat="1" ht="20.100000000000001" customHeight="1" x14ac:dyDescent="0.25">
      <c r="G137" s="56"/>
      <c r="H137" s="56"/>
      <c r="I137" s="56"/>
      <c r="J137" s="18"/>
      <c r="K137" s="18"/>
      <c r="L137" s="18"/>
      <c r="M137" s="18"/>
      <c r="N137"/>
    </row>
    <row r="138" spans="7:14" s="6" customFormat="1" ht="20.100000000000001" customHeight="1" x14ac:dyDescent="0.25">
      <c r="G138" s="56"/>
      <c r="H138" s="56"/>
      <c r="I138" s="56"/>
      <c r="J138" s="18"/>
      <c r="K138" s="18"/>
      <c r="L138" s="18"/>
      <c r="M138" s="18"/>
      <c r="N138"/>
    </row>
    <row r="139" spans="7:14" s="6" customFormat="1" ht="20.100000000000001" customHeight="1" x14ac:dyDescent="0.25">
      <c r="G139" s="56"/>
      <c r="H139" s="56"/>
      <c r="I139" s="56"/>
      <c r="J139" s="18"/>
      <c r="K139" s="18"/>
      <c r="L139" s="18"/>
      <c r="M139" s="18"/>
      <c r="N139"/>
    </row>
    <row r="140" spans="7:14" s="6" customFormat="1" ht="20.100000000000001" customHeight="1" x14ac:dyDescent="0.25">
      <c r="G140" s="56"/>
      <c r="H140" s="56"/>
      <c r="I140" s="56"/>
      <c r="J140" s="18"/>
      <c r="K140" s="18"/>
      <c r="L140" s="18"/>
      <c r="M140" s="18"/>
      <c r="N140"/>
    </row>
    <row r="141" spans="7:14" s="6" customFormat="1" ht="20.100000000000001" customHeight="1" x14ac:dyDescent="0.25">
      <c r="G141" s="56"/>
      <c r="H141" s="56"/>
      <c r="I141" s="56"/>
      <c r="J141" s="18"/>
      <c r="K141" s="18"/>
      <c r="L141" s="18"/>
      <c r="M141" s="18"/>
      <c r="N141"/>
    </row>
    <row r="142" spans="7:14" s="6" customFormat="1" ht="20.100000000000001" customHeight="1" x14ac:dyDescent="0.25">
      <c r="G142" s="56"/>
      <c r="H142" s="56"/>
      <c r="I142" s="56"/>
      <c r="J142" s="18"/>
      <c r="K142" s="18"/>
      <c r="L142" s="18"/>
      <c r="M142" s="18"/>
      <c r="N142"/>
    </row>
    <row r="143" spans="7:14" s="6" customFormat="1" ht="20.100000000000001" customHeight="1" x14ac:dyDescent="0.25">
      <c r="G143" s="56"/>
      <c r="H143" s="56"/>
      <c r="I143" s="56"/>
      <c r="J143" s="18"/>
      <c r="K143" s="18"/>
      <c r="L143" s="18"/>
      <c r="M143" s="18"/>
      <c r="N143"/>
    </row>
    <row r="144" spans="7:14" s="6" customFormat="1" ht="20.100000000000001" customHeight="1" x14ac:dyDescent="0.25">
      <c r="G144" s="56"/>
      <c r="H144" s="56"/>
      <c r="I144" s="56"/>
      <c r="J144" s="18"/>
      <c r="K144" s="18"/>
      <c r="L144" s="18"/>
      <c r="M144" s="18"/>
      <c r="N144"/>
    </row>
    <row r="145" spans="7:14" s="6" customFormat="1" ht="20.100000000000001" customHeight="1" x14ac:dyDescent="0.25">
      <c r="G145" s="56"/>
      <c r="H145" s="56"/>
      <c r="I145" s="56"/>
      <c r="J145" s="18"/>
      <c r="K145" s="18"/>
      <c r="L145" s="18"/>
      <c r="M145" s="18"/>
      <c r="N145"/>
    </row>
    <row r="146" spans="7:14" s="6" customFormat="1" ht="20.100000000000001" customHeight="1" x14ac:dyDescent="0.25">
      <c r="G146" s="56"/>
      <c r="H146" s="56"/>
      <c r="I146" s="56"/>
      <c r="J146" s="18"/>
      <c r="K146" s="18"/>
      <c r="L146" s="18"/>
      <c r="M146" s="18"/>
      <c r="N146"/>
    </row>
    <row r="147" spans="7:14" s="6" customFormat="1" ht="20.100000000000001" customHeight="1" x14ac:dyDescent="0.25">
      <c r="G147" s="56"/>
      <c r="H147" s="56"/>
      <c r="I147" s="56"/>
      <c r="J147" s="18"/>
      <c r="K147" s="18"/>
      <c r="L147" s="18"/>
      <c r="M147" s="18"/>
      <c r="N147"/>
    </row>
    <row r="148" spans="7:14" s="6" customFormat="1" ht="20.100000000000001" customHeight="1" x14ac:dyDescent="0.25">
      <c r="G148" s="56"/>
      <c r="H148" s="56"/>
      <c r="I148" s="56"/>
      <c r="J148" s="18"/>
      <c r="K148" s="18"/>
      <c r="L148" s="18"/>
      <c r="M148" s="18"/>
      <c r="N148"/>
    </row>
    <row r="149" spans="7:14" s="6" customFormat="1" ht="20.100000000000001" customHeight="1" x14ac:dyDescent="0.25">
      <c r="G149" s="56"/>
      <c r="H149" s="56"/>
      <c r="I149" s="56"/>
      <c r="J149" s="18"/>
      <c r="K149" s="18"/>
      <c r="L149" s="18"/>
      <c r="M149" s="18"/>
      <c r="N149"/>
    </row>
    <row r="150" spans="7:14" s="6" customFormat="1" ht="20.100000000000001" customHeight="1" x14ac:dyDescent="0.25">
      <c r="G150" s="56"/>
      <c r="H150" s="56"/>
      <c r="I150" s="56"/>
      <c r="J150" s="18"/>
      <c r="K150" s="18"/>
      <c r="L150" s="18"/>
      <c r="M150" s="18"/>
      <c r="N150"/>
    </row>
    <row r="151" spans="7:14" s="6" customFormat="1" ht="20.100000000000001" customHeight="1" x14ac:dyDescent="0.25">
      <c r="G151" s="56"/>
      <c r="H151" s="56"/>
      <c r="I151" s="56"/>
      <c r="J151" s="18"/>
      <c r="K151" s="18"/>
      <c r="L151" s="18"/>
      <c r="M151" s="18"/>
      <c r="N151"/>
    </row>
    <row r="152" spans="7:14" s="6" customFormat="1" ht="20.100000000000001" customHeight="1" x14ac:dyDescent="0.25">
      <c r="G152" s="56"/>
      <c r="H152" s="56"/>
      <c r="I152" s="56"/>
      <c r="J152" s="18"/>
      <c r="K152" s="18"/>
      <c r="L152" s="18"/>
      <c r="M152" s="18"/>
      <c r="N152"/>
    </row>
    <row r="153" spans="7:14" s="6" customFormat="1" ht="20.100000000000001" customHeight="1" x14ac:dyDescent="0.25">
      <c r="G153" s="56"/>
      <c r="H153" s="56"/>
      <c r="I153" s="56"/>
      <c r="J153" s="18"/>
      <c r="K153" s="18"/>
      <c r="L153" s="18"/>
      <c r="M153" s="18"/>
      <c r="N153"/>
    </row>
    <row r="154" spans="7:14" s="6" customFormat="1" ht="20.100000000000001" customHeight="1" x14ac:dyDescent="0.25">
      <c r="G154" s="56"/>
      <c r="H154" s="56"/>
      <c r="I154" s="56"/>
      <c r="J154" s="18"/>
      <c r="K154" s="18"/>
      <c r="L154" s="18"/>
      <c r="M154" s="18"/>
      <c r="N154"/>
    </row>
    <row r="155" spans="7:14" s="6" customFormat="1" ht="20.100000000000001" customHeight="1" x14ac:dyDescent="0.25">
      <c r="G155" s="56"/>
      <c r="H155" s="56"/>
      <c r="I155" s="56"/>
      <c r="J155" s="18"/>
      <c r="K155" s="18"/>
      <c r="L155" s="18"/>
      <c r="M155" s="18"/>
      <c r="N155"/>
    </row>
    <row r="156" spans="7:14" s="6" customFormat="1" ht="20.100000000000001" customHeight="1" x14ac:dyDescent="0.25">
      <c r="G156" s="56"/>
      <c r="H156" s="56"/>
      <c r="I156" s="56"/>
      <c r="J156" s="18"/>
      <c r="K156" s="18"/>
      <c r="L156" s="18"/>
      <c r="M156" s="18"/>
      <c r="N156"/>
    </row>
    <row r="157" spans="7:14" s="6" customFormat="1" ht="20.100000000000001" customHeight="1" x14ac:dyDescent="0.25">
      <c r="G157" s="56"/>
      <c r="H157" s="56"/>
      <c r="I157" s="56"/>
      <c r="J157" s="18"/>
      <c r="K157" s="18"/>
      <c r="L157" s="18"/>
      <c r="M157" s="18"/>
      <c r="N157"/>
    </row>
    <row r="158" spans="7:14" s="6" customFormat="1" ht="20.100000000000001" customHeight="1" x14ac:dyDescent="0.25">
      <c r="G158" s="56"/>
      <c r="H158" s="56"/>
      <c r="I158" s="56"/>
      <c r="J158" s="18"/>
      <c r="K158" s="18"/>
      <c r="L158" s="18"/>
      <c r="M158" s="18"/>
      <c r="N158"/>
    </row>
    <row r="159" spans="7:14" s="6" customFormat="1" ht="20.100000000000001" customHeight="1" x14ac:dyDescent="0.25">
      <c r="G159" s="56"/>
      <c r="H159" s="56"/>
      <c r="I159" s="56"/>
      <c r="J159" s="18"/>
      <c r="K159" s="18"/>
      <c r="L159" s="18"/>
      <c r="M159" s="18"/>
      <c r="N159"/>
    </row>
    <row r="160" spans="7:14" s="6" customFormat="1" ht="20.100000000000001" customHeight="1" x14ac:dyDescent="0.25">
      <c r="G160" s="56"/>
      <c r="H160" s="56"/>
      <c r="I160" s="56"/>
      <c r="J160" s="18"/>
      <c r="K160" s="18"/>
      <c r="L160" s="18"/>
      <c r="M160" s="18"/>
      <c r="N160"/>
    </row>
    <row r="161" spans="7:14" s="6" customFormat="1" ht="20.100000000000001" customHeight="1" x14ac:dyDescent="0.25">
      <c r="G161" s="56"/>
      <c r="H161" s="56"/>
      <c r="I161" s="56"/>
      <c r="J161" s="18"/>
      <c r="K161" s="18"/>
      <c r="L161" s="18"/>
      <c r="M161" s="18"/>
      <c r="N161"/>
    </row>
    <row r="162" spans="7:14" s="6" customFormat="1" ht="20.100000000000001" customHeight="1" x14ac:dyDescent="0.25">
      <c r="G162" s="56"/>
      <c r="H162" s="56"/>
      <c r="I162" s="56"/>
      <c r="J162" s="18"/>
      <c r="K162" s="18"/>
      <c r="L162" s="18"/>
      <c r="M162" s="18"/>
      <c r="N162"/>
    </row>
    <row r="163" spans="7:14" s="6" customFormat="1" ht="20.100000000000001" customHeight="1" x14ac:dyDescent="0.25">
      <c r="G163" s="56"/>
      <c r="H163" s="56"/>
      <c r="I163" s="56"/>
      <c r="J163" s="18"/>
      <c r="K163" s="18"/>
      <c r="L163" s="18"/>
      <c r="M163" s="18"/>
      <c r="N163"/>
    </row>
    <row r="164" spans="7:14" s="6" customFormat="1" ht="20.100000000000001" customHeight="1" x14ac:dyDescent="0.25">
      <c r="G164" s="56"/>
      <c r="H164" s="56"/>
      <c r="I164" s="56"/>
      <c r="J164" s="18"/>
      <c r="K164" s="18"/>
      <c r="L164" s="18"/>
      <c r="M164" s="18"/>
      <c r="N164"/>
    </row>
    <row r="165" spans="7:14" s="6" customFormat="1" ht="20.100000000000001" customHeight="1" x14ac:dyDescent="0.25">
      <c r="G165" s="56"/>
      <c r="H165" s="56"/>
      <c r="I165" s="56"/>
      <c r="J165" s="18"/>
      <c r="K165" s="18"/>
      <c r="L165" s="18"/>
      <c r="M165" s="18"/>
      <c r="N165"/>
    </row>
    <row r="166" spans="7:14" s="6" customFormat="1" ht="20.100000000000001" customHeight="1" x14ac:dyDescent="0.25">
      <c r="G166" s="56"/>
      <c r="H166" s="56"/>
      <c r="I166" s="56"/>
      <c r="J166" s="18"/>
      <c r="K166" s="18"/>
      <c r="L166" s="18"/>
      <c r="M166" s="18"/>
      <c r="N166"/>
    </row>
    <row r="167" spans="7:14" s="6" customFormat="1" ht="20.100000000000001" customHeight="1" x14ac:dyDescent="0.25">
      <c r="G167" s="56"/>
      <c r="H167" s="56"/>
      <c r="I167" s="56"/>
      <c r="J167" s="18"/>
      <c r="K167" s="18"/>
      <c r="L167" s="18"/>
      <c r="M167" s="18"/>
      <c r="N167"/>
    </row>
    <row r="168" spans="7:14" s="6" customFormat="1" ht="20.100000000000001" customHeight="1" x14ac:dyDescent="0.25">
      <c r="G168" s="56"/>
      <c r="H168" s="56"/>
      <c r="I168" s="56"/>
      <c r="J168" s="18"/>
      <c r="K168" s="18"/>
      <c r="L168" s="18"/>
      <c r="M168" s="18"/>
      <c r="N168"/>
    </row>
    <row r="169" spans="7:14" s="6" customFormat="1" ht="20.100000000000001" customHeight="1" x14ac:dyDescent="0.25">
      <c r="G169" s="56"/>
      <c r="H169" s="56"/>
      <c r="I169" s="56"/>
      <c r="J169" s="18"/>
      <c r="K169" s="18"/>
      <c r="L169" s="18"/>
      <c r="M169" s="18"/>
      <c r="N169"/>
    </row>
    <row r="170" spans="7:14" s="6" customFormat="1" ht="20.100000000000001" customHeight="1" x14ac:dyDescent="0.25">
      <c r="G170" s="56"/>
      <c r="H170" s="56"/>
      <c r="I170" s="56"/>
      <c r="J170" s="18"/>
      <c r="K170" s="18"/>
      <c r="L170" s="18"/>
      <c r="M170" s="18"/>
      <c r="N170"/>
    </row>
    <row r="171" spans="7:14" s="6" customFormat="1" ht="20.100000000000001" customHeight="1" x14ac:dyDescent="0.25">
      <c r="G171" s="56"/>
      <c r="H171" s="56"/>
      <c r="I171" s="56"/>
      <c r="J171" s="18"/>
      <c r="K171" s="18"/>
      <c r="L171" s="18"/>
      <c r="M171" s="18"/>
      <c r="N171"/>
    </row>
    <row r="172" spans="7:14" s="6" customFormat="1" ht="20.100000000000001" customHeight="1" x14ac:dyDescent="0.25">
      <c r="G172" s="56"/>
      <c r="H172" s="56"/>
      <c r="I172" s="56"/>
      <c r="J172" s="18"/>
      <c r="K172" s="18"/>
      <c r="L172" s="18"/>
      <c r="M172" s="18"/>
      <c r="N172"/>
    </row>
    <row r="173" spans="7:14" s="6" customFormat="1" ht="20.100000000000001" customHeight="1" x14ac:dyDescent="0.25">
      <c r="G173" s="56"/>
      <c r="H173" s="56"/>
      <c r="I173" s="56"/>
      <c r="J173" s="18"/>
      <c r="K173" s="18"/>
      <c r="L173" s="18"/>
      <c r="M173" s="18"/>
      <c r="N173"/>
    </row>
    <row r="174" spans="7:14" s="6" customFormat="1" ht="20.100000000000001" customHeight="1" x14ac:dyDescent="0.25">
      <c r="G174" s="56"/>
      <c r="H174" s="56"/>
      <c r="I174" s="56"/>
      <c r="J174" s="18"/>
      <c r="K174" s="18"/>
      <c r="L174" s="18"/>
      <c r="M174" s="18"/>
      <c r="N174"/>
    </row>
    <row r="175" spans="7:14" s="6" customFormat="1" ht="20.100000000000001" customHeight="1" x14ac:dyDescent="0.25">
      <c r="G175" s="56"/>
      <c r="H175" s="56"/>
      <c r="I175" s="56"/>
      <c r="J175" s="18"/>
      <c r="K175" s="18"/>
      <c r="L175" s="18"/>
      <c r="M175" s="18"/>
      <c r="N175"/>
    </row>
    <row r="176" spans="7:14" s="6" customFormat="1" ht="20.100000000000001" customHeight="1" x14ac:dyDescent="0.25">
      <c r="G176" s="56"/>
      <c r="H176" s="56"/>
      <c r="I176" s="56"/>
      <c r="J176" s="18"/>
      <c r="K176" s="18"/>
      <c r="L176" s="18"/>
      <c r="M176" s="18"/>
      <c r="N176"/>
    </row>
    <row r="177" spans="7:14" s="6" customFormat="1" ht="20.100000000000001" customHeight="1" x14ac:dyDescent="0.25">
      <c r="G177" s="56"/>
      <c r="H177" s="56"/>
      <c r="I177" s="56"/>
      <c r="J177" s="18"/>
      <c r="K177" s="18"/>
      <c r="L177" s="18"/>
      <c r="M177" s="18"/>
      <c r="N177"/>
    </row>
    <row r="178" spans="7:14" s="6" customFormat="1" ht="20.100000000000001" customHeight="1" x14ac:dyDescent="0.25">
      <c r="G178" s="56"/>
      <c r="H178" s="56"/>
      <c r="I178" s="56"/>
      <c r="J178" s="18"/>
      <c r="K178" s="18"/>
      <c r="L178" s="18"/>
      <c r="M178" s="18"/>
      <c r="N178"/>
    </row>
    <row r="179" spans="7:14" s="6" customFormat="1" ht="20.100000000000001" customHeight="1" x14ac:dyDescent="0.25">
      <c r="G179" s="56"/>
      <c r="H179" s="56"/>
      <c r="I179" s="56"/>
      <c r="J179" s="18"/>
      <c r="K179" s="18"/>
      <c r="L179" s="18"/>
      <c r="M179" s="18"/>
      <c r="N179"/>
    </row>
    <row r="180" spans="7:14" s="6" customFormat="1" ht="20.100000000000001" customHeight="1" x14ac:dyDescent="0.25">
      <c r="G180" s="56"/>
      <c r="H180" s="56"/>
      <c r="I180" s="56"/>
      <c r="J180" s="18"/>
      <c r="K180" s="18"/>
      <c r="L180" s="18"/>
      <c r="M180" s="18"/>
      <c r="N180"/>
    </row>
    <row r="181" spans="7:14" s="6" customFormat="1" ht="20.100000000000001" customHeight="1" x14ac:dyDescent="0.25">
      <c r="G181" s="56"/>
      <c r="H181" s="56"/>
      <c r="I181" s="56"/>
      <c r="J181" s="18"/>
      <c r="K181" s="18"/>
      <c r="L181" s="18"/>
      <c r="M181" s="18"/>
      <c r="N181"/>
    </row>
    <row r="182" spans="7:14" s="6" customFormat="1" ht="20.100000000000001" customHeight="1" x14ac:dyDescent="0.25">
      <c r="G182" s="56"/>
      <c r="H182" s="56"/>
      <c r="I182" s="56"/>
      <c r="J182" s="18"/>
      <c r="K182" s="18"/>
      <c r="L182" s="18"/>
      <c r="M182" s="18"/>
      <c r="N182"/>
    </row>
    <row r="183" spans="7:14" s="6" customFormat="1" ht="20.100000000000001" customHeight="1" x14ac:dyDescent="0.25">
      <c r="G183" s="56"/>
      <c r="H183" s="56"/>
      <c r="I183" s="56"/>
      <c r="J183" s="18"/>
      <c r="K183" s="18"/>
      <c r="L183" s="18"/>
      <c r="M183" s="18"/>
      <c r="N183"/>
    </row>
    <row r="184" spans="7:14" s="6" customFormat="1" ht="20.100000000000001" customHeight="1" x14ac:dyDescent="0.25">
      <c r="G184" s="56"/>
      <c r="H184" s="56"/>
      <c r="I184" s="56"/>
      <c r="J184" s="18"/>
      <c r="K184" s="18"/>
      <c r="L184" s="18"/>
      <c r="M184" s="18"/>
      <c r="N184"/>
    </row>
    <row r="185" spans="7:14" s="6" customFormat="1" ht="20.100000000000001" customHeight="1" x14ac:dyDescent="0.25">
      <c r="G185" s="56"/>
      <c r="H185" s="56"/>
      <c r="I185" s="56"/>
      <c r="J185" s="18"/>
      <c r="K185" s="18"/>
      <c r="L185" s="18"/>
      <c r="M185" s="18"/>
      <c r="N185"/>
    </row>
    <row r="186" spans="7:14" s="6" customFormat="1" ht="20.100000000000001" customHeight="1" x14ac:dyDescent="0.25">
      <c r="G186" s="56"/>
      <c r="H186" s="56"/>
      <c r="I186" s="56"/>
      <c r="J186" s="18"/>
      <c r="K186" s="18"/>
      <c r="L186" s="18"/>
      <c r="M186" s="18"/>
      <c r="N186"/>
    </row>
    <row r="187" spans="7:14" s="6" customFormat="1" ht="20.100000000000001" customHeight="1" x14ac:dyDescent="0.25">
      <c r="G187" s="56"/>
      <c r="H187" s="56"/>
      <c r="I187" s="56"/>
      <c r="J187" s="18"/>
      <c r="K187" s="18"/>
      <c r="L187" s="18"/>
      <c r="M187" s="18"/>
      <c r="N187"/>
    </row>
    <row r="188" spans="7:14" s="6" customFormat="1" ht="20.100000000000001" customHeight="1" x14ac:dyDescent="0.25">
      <c r="G188" s="56"/>
      <c r="H188" s="56"/>
      <c r="I188" s="56"/>
      <c r="J188" s="18"/>
      <c r="K188" s="18"/>
      <c r="L188" s="18"/>
      <c r="M188" s="18"/>
      <c r="N188"/>
    </row>
    <row r="189" spans="7:14" s="6" customFormat="1" ht="20.100000000000001" customHeight="1" x14ac:dyDescent="0.25">
      <c r="G189" s="56"/>
      <c r="H189" s="56"/>
      <c r="I189" s="56"/>
      <c r="J189" s="18"/>
      <c r="K189" s="18"/>
      <c r="L189" s="18"/>
      <c r="M189" s="18"/>
      <c r="N189"/>
    </row>
    <row r="190" spans="7:14" s="6" customFormat="1" ht="20.100000000000001" customHeight="1" x14ac:dyDescent="0.25">
      <c r="G190" s="56"/>
      <c r="H190" s="56"/>
      <c r="I190" s="56"/>
      <c r="J190" s="18"/>
      <c r="K190" s="18"/>
      <c r="L190" s="18"/>
      <c r="M190" s="18"/>
      <c r="N190"/>
    </row>
    <row r="191" spans="7:14" s="6" customFormat="1" ht="20.100000000000001" customHeight="1" x14ac:dyDescent="0.25">
      <c r="G191" s="56"/>
      <c r="H191" s="56"/>
      <c r="I191" s="56"/>
      <c r="J191" s="18"/>
      <c r="K191" s="18"/>
      <c r="L191" s="18"/>
      <c r="M191" s="18"/>
      <c r="N191"/>
    </row>
    <row r="192" spans="7:14" s="6" customFormat="1" ht="20.100000000000001" customHeight="1" x14ac:dyDescent="0.25">
      <c r="G192" s="56"/>
      <c r="H192" s="56"/>
      <c r="I192" s="56"/>
      <c r="J192" s="18"/>
      <c r="K192" s="18"/>
      <c r="L192" s="18"/>
      <c r="M192" s="18"/>
      <c r="N192"/>
    </row>
    <row r="193" spans="7:14" s="6" customFormat="1" ht="20.100000000000001" customHeight="1" x14ac:dyDescent="0.25">
      <c r="G193" s="56"/>
      <c r="H193" s="56"/>
      <c r="I193" s="56"/>
      <c r="J193" s="18"/>
      <c r="K193" s="18"/>
      <c r="L193" s="18"/>
      <c r="M193" s="18"/>
      <c r="N193"/>
    </row>
    <row r="194" spans="7:14" s="6" customFormat="1" ht="20.100000000000001" customHeight="1" x14ac:dyDescent="0.25">
      <c r="G194" s="56"/>
      <c r="H194" s="56"/>
      <c r="I194" s="56"/>
      <c r="J194" s="18"/>
      <c r="K194" s="18"/>
      <c r="L194" s="18"/>
      <c r="M194" s="18"/>
      <c r="N194"/>
    </row>
    <row r="195" spans="7:14" s="6" customFormat="1" ht="20.100000000000001" customHeight="1" x14ac:dyDescent="0.25">
      <c r="G195" s="56"/>
      <c r="H195" s="56"/>
      <c r="I195" s="56"/>
      <c r="J195" s="18"/>
      <c r="K195" s="18"/>
      <c r="L195" s="18"/>
      <c r="M195" s="18"/>
      <c r="N195"/>
    </row>
    <row r="196" spans="7:14" s="6" customFormat="1" ht="20.100000000000001" customHeight="1" x14ac:dyDescent="0.25">
      <c r="G196" s="56"/>
      <c r="H196" s="56"/>
      <c r="I196" s="56"/>
      <c r="J196" s="18"/>
      <c r="K196" s="18"/>
      <c r="L196" s="18"/>
      <c r="M196" s="18"/>
      <c r="N196"/>
    </row>
    <row r="197" spans="7:14" s="6" customFormat="1" ht="20.100000000000001" customHeight="1" x14ac:dyDescent="0.25">
      <c r="G197" s="56"/>
      <c r="H197" s="56"/>
      <c r="I197" s="56"/>
      <c r="J197" s="18"/>
      <c r="K197" s="18"/>
      <c r="L197" s="18"/>
      <c r="M197" s="18"/>
      <c r="N197"/>
    </row>
    <row r="198" spans="7:14" s="6" customFormat="1" ht="20.100000000000001" customHeight="1" x14ac:dyDescent="0.25">
      <c r="G198" s="56"/>
      <c r="H198" s="56"/>
      <c r="I198" s="56"/>
      <c r="J198" s="18"/>
      <c r="K198" s="18"/>
      <c r="L198" s="18"/>
      <c r="M198" s="18"/>
      <c r="N198"/>
    </row>
    <row r="199" spans="7:14" s="6" customFormat="1" ht="20.100000000000001" customHeight="1" x14ac:dyDescent="0.25">
      <c r="G199" s="56"/>
      <c r="H199" s="56"/>
      <c r="I199" s="56"/>
      <c r="J199" s="18"/>
      <c r="K199" s="18"/>
      <c r="L199" s="18"/>
      <c r="M199" s="18"/>
      <c r="N199"/>
    </row>
    <row r="200" spans="7:14" s="6" customFormat="1" ht="20.100000000000001" customHeight="1" x14ac:dyDescent="0.25">
      <c r="G200" s="56"/>
      <c r="H200" s="56"/>
      <c r="I200" s="56"/>
      <c r="J200" s="18"/>
      <c r="K200" s="18"/>
      <c r="L200" s="18"/>
      <c r="M200" s="18"/>
      <c r="N200"/>
    </row>
    <row r="201" spans="7:14" s="6" customFormat="1" ht="20.100000000000001" customHeight="1" x14ac:dyDescent="0.25">
      <c r="G201" s="56"/>
      <c r="H201" s="56"/>
      <c r="I201" s="56"/>
      <c r="J201" s="18"/>
      <c r="K201" s="18"/>
      <c r="L201" s="18"/>
      <c r="M201" s="18"/>
      <c r="N201"/>
    </row>
    <row r="202" spans="7:14" s="6" customFormat="1" ht="20.100000000000001" customHeight="1" x14ac:dyDescent="0.25">
      <c r="G202" s="56"/>
      <c r="H202" s="56"/>
      <c r="I202" s="56"/>
      <c r="J202" s="18"/>
      <c r="K202" s="18"/>
      <c r="L202" s="18"/>
      <c r="M202" s="18"/>
      <c r="N202"/>
    </row>
    <row r="203" spans="7:14" s="6" customFormat="1" ht="20.100000000000001" customHeight="1" x14ac:dyDescent="0.25">
      <c r="G203" s="56"/>
      <c r="H203" s="56"/>
      <c r="I203" s="56"/>
      <c r="J203" s="18"/>
      <c r="K203" s="18"/>
      <c r="L203" s="18"/>
      <c r="M203" s="18"/>
      <c r="N203"/>
    </row>
    <row r="204" spans="7:14" s="6" customFormat="1" ht="20.100000000000001" customHeight="1" x14ac:dyDescent="0.25">
      <c r="G204" s="56"/>
      <c r="H204" s="56"/>
      <c r="I204" s="56"/>
      <c r="J204" s="18"/>
      <c r="K204" s="18"/>
      <c r="L204" s="18"/>
      <c r="M204" s="18"/>
      <c r="N204"/>
    </row>
    <row r="205" spans="7:14" s="6" customFormat="1" ht="20.100000000000001" customHeight="1" x14ac:dyDescent="0.25">
      <c r="G205" s="56"/>
      <c r="H205" s="56"/>
      <c r="I205" s="56"/>
      <c r="J205" s="18"/>
      <c r="K205" s="18"/>
      <c r="L205" s="18"/>
      <c r="M205" s="18"/>
      <c r="N205"/>
    </row>
    <row r="206" spans="7:14" s="6" customFormat="1" ht="20.100000000000001" customHeight="1" x14ac:dyDescent="0.25">
      <c r="G206" s="56"/>
      <c r="H206" s="56"/>
      <c r="I206" s="56"/>
      <c r="J206" s="18"/>
      <c r="K206" s="18"/>
      <c r="L206" s="18"/>
      <c r="M206" s="18"/>
      <c r="N206"/>
    </row>
    <row r="207" spans="7:14" s="6" customFormat="1" ht="20.100000000000001" customHeight="1" x14ac:dyDescent="0.25">
      <c r="G207" s="56"/>
      <c r="H207" s="56"/>
      <c r="I207" s="56"/>
      <c r="J207" s="18"/>
      <c r="K207" s="18"/>
      <c r="L207" s="18"/>
      <c r="M207" s="18"/>
      <c r="N207"/>
    </row>
    <row r="208" spans="7:14" s="6" customFormat="1" ht="20.100000000000001" customHeight="1" x14ac:dyDescent="0.25">
      <c r="G208" s="56"/>
      <c r="H208" s="56"/>
      <c r="I208" s="56"/>
      <c r="J208" s="18"/>
      <c r="K208" s="18"/>
      <c r="L208" s="18"/>
      <c r="M208" s="18"/>
      <c r="N208"/>
    </row>
    <row r="209" spans="7:14" s="6" customFormat="1" ht="20.100000000000001" customHeight="1" x14ac:dyDescent="0.25">
      <c r="G209" s="56"/>
      <c r="H209" s="56"/>
      <c r="I209" s="56"/>
      <c r="J209" s="18"/>
      <c r="K209" s="18"/>
      <c r="L209" s="18"/>
      <c r="M209" s="18"/>
      <c r="N209"/>
    </row>
    <row r="210" spans="7:14" s="6" customFormat="1" ht="20.100000000000001" customHeight="1" x14ac:dyDescent="0.25">
      <c r="G210" s="56"/>
      <c r="H210" s="56"/>
      <c r="I210" s="56"/>
      <c r="J210" s="18"/>
      <c r="K210" s="18"/>
      <c r="L210" s="18"/>
      <c r="M210" s="18"/>
      <c r="N210"/>
    </row>
    <row r="211" spans="7:14" s="6" customFormat="1" ht="20.100000000000001" customHeight="1" x14ac:dyDescent="0.25">
      <c r="G211" s="56"/>
      <c r="H211" s="56"/>
      <c r="I211" s="56"/>
      <c r="J211" s="18"/>
      <c r="K211" s="18"/>
      <c r="L211" s="18"/>
      <c r="M211" s="18"/>
      <c r="N211"/>
    </row>
    <row r="212" spans="7:14" s="6" customFormat="1" ht="20.100000000000001" customHeight="1" x14ac:dyDescent="0.25">
      <c r="G212" s="56"/>
      <c r="H212" s="56"/>
      <c r="I212" s="56"/>
      <c r="J212" s="18"/>
      <c r="K212" s="18"/>
      <c r="L212" s="18"/>
      <c r="M212" s="18"/>
      <c r="N212"/>
    </row>
    <row r="213" spans="7:14" s="6" customFormat="1" ht="20.100000000000001" customHeight="1" x14ac:dyDescent="0.25">
      <c r="G213" s="56"/>
      <c r="H213" s="56"/>
      <c r="I213" s="56"/>
      <c r="J213" s="18"/>
      <c r="K213" s="18"/>
      <c r="L213" s="18"/>
      <c r="M213" s="18"/>
      <c r="N213"/>
    </row>
    <row r="214" spans="7:14" s="6" customFormat="1" ht="20.100000000000001" customHeight="1" x14ac:dyDescent="0.25">
      <c r="G214" s="56"/>
      <c r="H214" s="56"/>
      <c r="I214" s="56"/>
      <c r="J214" s="18"/>
      <c r="K214" s="18"/>
      <c r="L214" s="18"/>
      <c r="M214" s="18"/>
      <c r="N214"/>
    </row>
    <row r="215" spans="7:14" s="6" customFormat="1" ht="20.100000000000001" customHeight="1" x14ac:dyDescent="0.25">
      <c r="G215" s="56"/>
      <c r="H215" s="56"/>
      <c r="I215" s="56"/>
      <c r="J215" s="18"/>
      <c r="K215" s="18"/>
      <c r="L215" s="18"/>
      <c r="M215" s="18"/>
      <c r="N215"/>
    </row>
    <row r="216" spans="7:14" s="6" customFormat="1" ht="20.100000000000001" customHeight="1" x14ac:dyDescent="0.25">
      <c r="G216" s="56"/>
      <c r="H216" s="56"/>
      <c r="I216" s="56"/>
      <c r="J216" s="18"/>
      <c r="K216" s="18"/>
      <c r="L216" s="18"/>
      <c r="M216" s="18"/>
      <c r="N216"/>
    </row>
    <row r="217" spans="7:14" s="6" customFormat="1" ht="20.100000000000001" customHeight="1" x14ac:dyDescent="0.25">
      <c r="G217" s="56"/>
      <c r="H217" s="56"/>
      <c r="I217" s="56"/>
      <c r="J217" s="18"/>
      <c r="K217" s="18"/>
      <c r="L217" s="18"/>
      <c r="M217" s="18"/>
      <c r="N217"/>
    </row>
    <row r="218" spans="7:14" s="6" customFormat="1" ht="20.100000000000001" customHeight="1" x14ac:dyDescent="0.25">
      <c r="G218" s="56"/>
      <c r="H218" s="56"/>
      <c r="I218" s="56"/>
      <c r="J218" s="18"/>
      <c r="K218" s="18"/>
      <c r="L218" s="18"/>
      <c r="M218" s="18"/>
      <c r="N218"/>
    </row>
    <row r="219" spans="7:14" s="6" customFormat="1" ht="20.100000000000001" customHeight="1" x14ac:dyDescent="0.25">
      <c r="G219" s="56"/>
      <c r="H219" s="56"/>
      <c r="I219" s="56"/>
      <c r="J219" s="18"/>
      <c r="K219" s="18"/>
      <c r="L219" s="18"/>
      <c r="M219" s="18"/>
      <c r="N219"/>
    </row>
    <row r="220" spans="7:14" s="6" customFormat="1" ht="20.100000000000001" customHeight="1" x14ac:dyDescent="0.25">
      <c r="G220" s="56"/>
      <c r="H220" s="56"/>
      <c r="I220" s="56"/>
      <c r="J220" s="18"/>
      <c r="K220" s="18"/>
      <c r="L220" s="18"/>
      <c r="M220" s="18"/>
      <c r="N220"/>
    </row>
    <row r="221" spans="7:14" s="6" customFormat="1" ht="20.100000000000001" customHeight="1" x14ac:dyDescent="0.25">
      <c r="G221" s="56"/>
      <c r="H221" s="56"/>
      <c r="I221" s="56"/>
      <c r="J221" s="18"/>
      <c r="K221" s="18"/>
      <c r="L221" s="18"/>
      <c r="M221" s="18"/>
      <c r="N221"/>
    </row>
    <row r="222" spans="7:14" s="6" customFormat="1" ht="20.100000000000001" customHeight="1" x14ac:dyDescent="0.25">
      <c r="G222" s="56"/>
      <c r="H222" s="56"/>
      <c r="I222" s="56"/>
      <c r="J222" s="18"/>
      <c r="K222" s="18"/>
      <c r="L222" s="18"/>
      <c r="M222" s="18"/>
      <c r="N222"/>
    </row>
    <row r="223" spans="7:14" s="6" customFormat="1" ht="20.100000000000001" customHeight="1" x14ac:dyDescent="0.25">
      <c r="G223" s="56"/>
      <c r="H223" s="56"/>
      <c r="I223" s="56"/>
      <c r="J223" s="18"/>
      <c r="K223" s="18"/>
      <c r="L223" s="18"/>
      <c r="M223" s="18"/>
      <c r="N223"/>
    </row>
    <row r="224" spans="7:14" s="6" customFormat="1" ht="20.100000000000001" customHeight="1" x14ac:dyDescent="0.25">
      <c r="G224" s="56"/>
      <c r="H224" s="56"/>
      <c r="I224" s="56"/>
      <c r="J224" s="18"/>
      <c r="K224" s="18"/>
      <c r="L224" s="18"/>
      <c r="M224" s="18"/>
      <c r="N224"/>
    </row>
    <row r="225" spans="7:14" s="6" customFormat="1" ht="20.100000000000001" customHeight="1" x14ac:dyDescent="0.25">
      <c r="G225" s="56"/>
      <c r="H225" s="56"/>
      <c r="I225" s="56"/>
      <c r="J225" s="18"/>
      <c r="K225" s="18"/>
      <c r="L225" s="18"/>
      <c r="M225" s="18"/>
      <c r="N225"/>
    </row>
    <row r="226" spans="7:14" s="6" customFormat="1" ht="20.100000000000001" customHeight="1" x14ac:dyDescent="0.25">
      <c r="G226" s="56"/>
      <c r="H226" s="56"/>
      <c r="I226" s="56"/>
      <c r="J226" s="18"/>
      <c r="K226" s="18"/>
      <c r="L226" s="18"/>
      <c r="M226" s="18"/>
      <c r="N226"/>
    </row>
    <row r="227" spans="7:14" s="6" customFormat="1" ht="20.100000000000001" customHeight="1" x14ac:dyDescent="0.25">
      <c r="G227" s="56"/>
      <c r="H227" s="56"/>
      <c r="I227" s="56"/>
      <c r="J227" s="18"/>
      <c r="K227" s="18"/>
      <c r="L227" s="18"/>
      <c r="M227" s="18"/>
      <c r="N227"/>
    </row>
    <row r="228" spans="7:14" s="6" customFormat="1" ht="20.100000000000001" customHeight="1" x14ac:dyDescent="0.25">
      <c r="G228" s="56"/>
      <c r="H228" s="56"/>
      <c r="I228" s="56"/>
      <c r="J228" s="18"/>
      <c r="K228" s="18"/>
      <c r="L228" s="18"/>
      <c r="M228" s="18"/>
      <c r="N228"/>
    </row>
    <row r="229" spans="7:14" s="6" customFormat="1" ht="20.100000000000001" customHeight="1" x14ac:dyDescent="0.25">
      <c r="G229" s="56"/>
      <c r="H229" s="56"/>
      <c r="I229" s="56"/>
      <c r="J229" s="18"/>
      <c r="K229" s="18"/>
      <c r="L229" s="18"/>
      <c r="M229" s="18"/>
      <c r="N229"/>
    </row>
    <row r="230" spans="7:14" s="6" customFormat="1" ht="20.100000000000001" customHeight="1" x14ac:dyDescent="0.25">
      <c r="G230" s="56"/>
      <c r="H230" s="56"/>
      <c r="I230" s="56"/>
      <c r="J230" s="18"/>
      <c r="K230" s="18"/>
      <c r="L230" s="18"/>
      <c r="M230" s="18"/>
      <c r="N230"/>
    </row>
    <row r="231" spans="7:14" s="6" customFormat="1" ht="20.100000000000001" customHeight="1" x14ac:dyDescent="0.25">
      <c r="G231" s="56"/>
      <c r="H231" s="56"/>
      <c r="I231" s="56"/>
      <c r="J231" s="18"/>
      <c r="K231" s="18"/>
      <c r="L231" s="18"/>
      <c r="M231" s="18"/>
      <c r="N231"/>
    </row>
    <row r="232" spans="7:14" s="6" customFormat="1" ht="20.100000000000001" customHeight="1" x14ac:dyDescent="0.25">
      <c r="G232" s="56"/>
      <c r="H232" s="56"/>
      <c r="I232" s="56"/>
      <c r="J232" s="18"/>
      <c r="K232" s="18"/>
      <c r="L232" s="18"/>
      <c r="M232" s="18"/>
      <c r="N232"/>
    </row>
    <row r="233" spans="7:14" s="6" customFormat="1" ht="20.100000000000001" customHeight="1" x14ac:dyDescent="0.25">
      <c r="G233" s="56"/>
      <c r="H233" s="56"/>
      <c r="I233" s="56"/>
      <c r="J233" s="18"/>
      <c r="K233" s="18"/>
      <c r="L233" s="18"/>
      <c r="M233" s="18"/>
      <c r="N233"/>
    </row>
    <row r="234" spans="7:14" s="6" customFormat="1" ht="20.100000000000001" customHeight="1" x14ac:dyDescent="0.25">
      <c r="G234" s="56"/>
      <c r="H234" s="56"/>
      <c r="I234" s="56"/>
      <c r="J234" s="18"/>
      <c r="K234" s="18"/>
      <c r="L234" s="18"/>
      <c r="M234" s="18"/>
      <c r="N234"/>
    </row>
    <row r="235" spans="7:14" s="6" customFormat="1" ht="20.100000000000001" customHeight="1" x14ac:dyDescent="0.25">
      <c r="G235" s="56"/>
      <c r="H235" s="56"/>
      <c r="I235" s="56"/>
      <c r="J235" s="18"/>
      <c r="K235" s="18"/>
      <c r="L235" s="18"/>
      <c r="M235" s="18"/>
      <c r="N235"/>
    </row>
    <row r="236" spans="7:14" s="6" customFormat="1" ht="20.100000000000001" customHeight="1" x14ac:dyDescent="0.25">
      <c r="G236" s="56"/>
      <c r="H236" s="56"/>
      <c r="I236" s="56"/>
      <c r="J236" s="18"/>
      <c r="K236" s="18"/>
      <c r="L236" s="18"/>
      <c r="M236" s="18"/>
      <c r="N236"/>
    </row>
    <row r="237" spans="7:14" s="6" customFormat="1" ht="20.100000000000001" customHeight="1" x14ac:dyDescent="0.25">
      <c r="G237" s="56"/>
      <c r="H237" s="56"/>
      <c r="I237" s="56"/>
      <c r="J237" s="18"/>
      <c r="K237" s="18"/>
      <c r="L237" s="18"/>
      <c r="M237" s="18"/>
      <c r="N237"/>
    </row>
    <row r="238" spans="7:14" s="6" customFormat="1" ht="20.100000000000001" customHeight="1" x14ac:dyDescent="0.25">
      <c r="G238" s="56"/>
      <c r="H238" s="56"/>
      <c r="I238" s="56"/>
      <c r="J238" s="18"/>
      <c r="K238" s="18"/>
      <c r="L238" s="18"/>
      <c r="M238" s="18"/>
      <c r="N238"/>
    </row>
    <row r="239" spans="7:14" s="6" customFormat="1" ht="20.100000000000001" customHeight="1" x14ac:dyDescent="0.25">
      <c r="G239" s="56"/>
      <c r="H239" s="56"/>
      <c r="I239" s="56"/>
      <c r="J239" s="18"/>
      <c r="K239" s="18"/>
      <c r="L239" s="18"/>
      <c r="M239" s="18"/>
      <c r="N239"/>
    </row>
    <row r="240" spans="7:14" s="6" customFormat="1" ht="20.100000000000001" customHeight="1" x14ac:dyDescent="0.25">
      <c r="G240" s="56"/>
      <c r="H240" s="56"/>
      <c r="I240" s="56"/>
      <c r="J240" s="18"/>
      <c r="K240" s="18"/>
      <c r="L240" s="18"/>
      <c r="M240" s="18"/>
      <c r="N240"/>
    </row>
    <row r="241" spans="7:14" s="6" customFormat="1" ht="20.100000000000001" customHeight="1" x14ac:dyDescent="0.25">
      <c r="G241" s="56"/>
      <c r="H241" s="56"/>
      <c r="I241" s="56"/>
      <c r="J241" s="18"/>
      <c r="K241" s="18"/>
      <c r="L241" s="18"/>
      <c r="M241" s="18"/>
      <c r="N241"/>
    </row>
    <row r="242" spans="7:14" s="6" customFormat="1" ht="20.100000000000001" customHeight="1" x14ac:dyDescent="0.25">
      <c r="G242" s="56"/>
      <c r="H242" s="56"/>
      <c r="I242" s="56"/>
      <c r="J242" s="18"/>
      <c r="K242" s="18"/>
      <c r="L242" s="18"/>
      <c r="M242" s="18"/>
      <c r="N242"/>
    </row>
    <row r="243" spans="7:14" s="6" customFormat="1" ht="20.100000000000001" customHeight="1" x14ac:dyDescent="0.25">
      <c r="G243" s="56"/>
      <c r="H243" s="56"/>
      <c r="I243" s="56"/>
      <c r="J243" s="18"/>
      <c r="K243" s="18"/>
      <c r="L243" s="18"/>
      <c r="M243" s="18"/>
      <c r="N243"/>
    </row>
    <row r="244" spans="7:14" s="6" customFormat="1" ht="20.100000000000001" customHeight="1" x14ac:dyDescent="0.25">
      <c r="G244" s="56"/>
      <c r="H244" s="56"/>
      <c r="I244" s="56"/>
      <c r="J244" s="18"/>
      <c r="K244" s="18"/>
      <c r="L244" s="18"/>
      <c r="M244" s="18"/>
      <c r="N244"/>
    </row>
    <row r="245" spans="7:14" s="6" customFormat="1" ht="20.100000000000001" customHeight="1" x14ac:dyDescent="0.25">
      <c r="G245" s="56"/>
      <c r="H245" s="56"/>
      <c r="I245" s="56"/>
      <c r="J245" s="18"/>
      <c r="K245" s="18"/>
      <c r="L245" s="18"/>
      <c r="M245" s="18"/>
      <c r="N245"/>
    </row>
    <row r="246" spans="7:14" s="6" customFormat="1" ht="20.100000000000001" customHeight="1" x14ac:dyDescent="0.25">
      <c r="G246" s="56"/>
      <c r="H246" s="56"/>
      <c r="I246" s="56"/>
      <c r="J246" s="18"/>
      <c r="K246" s="18"/>
      <c r="L246" s="18"/>
      <c r="M246" s="18"/>
      <c r="N246"/>
    </row>
    <row r="247" spans="7:14" s="6" customFormat="1" ht="20.100000000000001" customHeight="1" x14ac:dyDescent="0.25">
      <c r="G247" s="56"/>
      <c r="H247" s="56"/>
      <c r="I247" s="56"/>
      <c r="J247" s="18"/>
      <c r="K247" s="18"/>
      <c r="L247" s="18"/>
      <c r="M247" s="18"/>
      <c r="N247"/>
    </row>
    <row r="248" spans="7:14" s="6" customFormat="1" ht="20.100000000000001" customHeight="1" x14ac:dyDescent="0.25">
      <c r="G248" s="56"/>
      <c r="H248" s="56"/>
      <c r="I248" s="56"/>
      <c r="J248" s="18"/>
      <c r="K248" s="18"/>
      <c r="L248" s="18"/>
      <c r="M248" s="18"/>
      <c r="N248"/>
    </row>
    <row r="249" spans="7:14" s="6" customFormat="1" ht="20.100000000000001" customHeight="1" x14ac:dyDescent="0.25">
      <c r="G249" s="56"/>
      <c r="H249" s="56"/>
      <c r="I249" s="56"/>
      <c r="J249" s="18"/>
      <c r="K249" s="18"/>
      <c r="L249" s="18"/>
      <c r="M249" s="18"/>
      <c r="N249"/>
    </row>
    <row r="250" spans="7:14" s="6" customFormat="1" ht="20.100000000000001" customHeight="1" x14ac:dyDescent="0.25">
      <c r="G250" s="56"/>
      <c r="H250" s="56"/>
      <c r="I250" s="56"/>
      <c r="J250" s="18"/>
      <c r="K250" s="18"/>
      <c r="L250" s="18"/>
      <c r="M250" s="18"/>
      <c r="N250"/>
    </row>
    <row r="251" spans="7:14" s="6" customFormat="1" ht="20.100000000000001" customHeight="1" x14ac:dyDescent="0.25">
      <c r="G251" s="56"/>
      <c r="H251" s="56"/>
      <c r="I251" s="56"/>
      <c r="J251" s="18"/>
      <c r="K251" s="18"/>
      <c r="L251" s="18"/>
      <c r="M251" s="18"/>
      <c r="N251"/>
    </row>
    <row r="252" spans="7:14" s="6" customFormat="1" ht="20.100000000000001" customHeight="1" x14ac:dyDescent="0.25">
      <c r="G252" s="56"/>
      <c r="H252" s="56"/>
      <c r="I252" s="56"/>
      <c r="J252" s="18"/>
      <c r="K252" s="18"/>
      <c r="L252" s="18"/>
      <c r="M252" s="18"/>
      <c r="N252"/>
    </row>
    <row r="253" spans="7:14" s="6" customFormat="1" ht="20.100000000000001" customHeight="1" x14ac:dyDescent="0.25">
      <c r="G253" s="56"/>
      <c r="H253" s="56"/>
      <c r="I253" s="56"/>
      <c r="J253" s="18"/>
      <c r="K253" s="18"/>
      <c r="L253" s="18"/>
      <c r="M253" s="18"/>
      <c r="N253"/>
    </row>
    <row r="254" spans="7:14" s="6" customFormat="1" ht="20.100000000000001" customHeight="1" x14ac:dyDescent="0.25">
      <c r="G254" s="56"/>
      <c r="H254" s="56"/>
      <c r="I254" s="56"/>
      <c r="J254" s="18"/>
      <c r="K254" s="18"/>
      <c r="L254" s="18"/>
      <c r="M254" s="18"/>
      <c r="N254"/>
    </row>
    <row r="255" spans="7:14" s="6" customFormat="1" ht="20.100000000000001" customHeight="1" x14ac:dyDescent="0.25">
      <c r="G255" s="56"/>
      <c r="H255" s="56"/>
      <c r="I255" s="56"/>
      <c r="J255" s="18"/>
      <c r="K255" s="18"/>
      <c r="L255" s="18"/>
      <c r="M255" s="18"/>
      <c r="N255"/>
    </row>
    <row r="256" spans="7:14" s="6" customFormat="1" ht="20.100000000000001" customHeight="1" x14ac:dyDescent="0.25">
      <c r="G256" s="56"/>
      <c r="H256" s="56"/>
      <c r="I256" s="56"/>
      <c r="J256" s="18"/>
      <c r="K256" s="18"/>
      <c r="L256" s="18"/>
      <c r="M256" s="18"/>
      <c r="N256"/>
    </row>
    <row r="257" spans="7:14" s="6" customFormat="1" ht="20.100000000000001" customHeight="1" x14ac:dyDescent="0.25">
      <c r="G257" s="56"/>
      <c r="H257" s="56"/>
      <c r="I257" s="56"/>
      <c r="J257" s="18"/>
      <c r="K257" s="18"/>
      <c r="L257" s="18"/>
      <c r="M257" s="18"/>
      <c r="N257"/>
    </row>
    <row r="258" spans="7:14" s="6" customFormat="1" ht="20.100000000000001" customHeight="1" x14ac:dyDescent="0.25">
      <c r="G258" s="56"/>
      <c r="H258" s="56"/>
      <c r="I258" s="56"/>
      <c r="J258" s="18"/>
      <c r="K258" s="18"/>
      <c r="L258" s="18"/>
      <c r="M258" s="18"/>
      <c r="N258"/>
    </row>
    <row r="259" spans="7:14" s="6" customFormat="1" ht="20.100000000000001" customHeight="1" x14ac:dyDescent="0.25">
      <c r="G259" s="56"/>
      <c r="H259" s="56"/>
      <c r="I259" s="56"/>
      <c r="J259" s="18"/>
      <c r="K259" s="18"/>
      <c r="L259" s="18"/>
      <c r="M259" s="18"/>
      <c r="N259"/>
    </row>
    <row r="260" spans="7:14" s="6" customFormat="1" ht="20.100000000000001" customHeight="1" x14ac:dyDescent="0.25">
      <c r="G260" s="56"/>
      <c r="H260" s="56"/>
      <c r="I260" s="56"/>
      <c r="J260" s="18"/>
      <c r="K260" s="18"/>
      <c r="L260" s="18"/>
      <c r="M260" s="18"/>
      <c r="N260"/>
    </row>
    <row r="261" spans="7:14" s="6" customFormat="1" ht="20.100000000000001" customHeight="1" x14ac:dyDescent="0.25">
      <c r="G261" s="56"/>
      <c r="H261" s="56"/>
      <c r="I261" s="56"/>
      <c r="J261" s="18"/>
      <c r="K261" s="18"/>
      <c r="L261" s="18"/>
      <c r="M261" s="18"/>
      <c r="N261"/>
    </row>
    <row r="262" spans="7:14" s="6" customFormat="1" ht="20.100000000000001" customHeight="1" x14ac:dyDescent="0.25">
      <c r="G262" s="56"/>
      <c r="H262" s="56"/>
      <c r="I262" s="56"/>
      <c r="J262" s="18"/>
      <c r="K262" s="18"/>
      <c r="L262" s="18"/>
      <c r="M262" s="18"/>
      <c r="N262"/>
    </row>
    <row r="263" spans="7:14" s="6" customFormat="1" ht="20.100000000000001" customHeight="1" x14ac:dyDescent="0.25">
      <c r="G263" s="56"/>
      <c r="H263" s="56"/>
      <c r="I263" s="56"/>
      <c r="J263" s="18"/>
      <c r="K263" s="18"/>
      <c r="L263" s="18"/>
      <c r="M263" s="18"/>
      <c r="N263"/>
    </row>
    <row r="264" spans="7:14" s="6" customFormat="1" ht="20.100000000000001" customHeight="1" x14ac:dyDescent="0.25">
      <c r="G264" s="56"/>
      <c r="H264" s="56"/>
      <c r="I264" s="56"/>
      <c r="J264" s="18"/>
      <c r="K264" s="18"/>
      <c r="L264" s="18"/>
      <c r="M264" s="18"/>
      <c r="N264"/>
    </row>
    <row r="265" spans="7:14" s="6" customFormat="1" ht="20.100000000000001" customHeight="1" x14ac:dyDescent="0.25">
      <c r="G265" s="56"/>
      <c r="H265" s="56"/>
      <c r="I265" s="56"/>
      <c r="J265" s="18"/>
      <c r="K265" s="18"/>
      <c r="L265" s="18"/>
      <c r="M265" s="18"/>
      <c r="N265"/>
    </row>
    <row r="266" spans="7:14" s="6" customFormat="1" ht="20.100000000000001" customHeight="1" x14ac:dyDescent="0.25">
      <c r="G266" s="56"/>
      <c r="H266" s="56"/>
      <c r="I266" s="56"/>
      <c r="J266" s="18"/>
      <c r="K266" s="18"/>
      <c r="L266" s="18"/>
      <c r="M266" s="18"/>
      <c r="N266"/>
    </row>
    <row r="267" spans="7:14" s="6" customFormat="1" ht="20.100000000000001" customHeight="1" x14ac:dyDescent="0.25">
      <c r="G267" s="56"/>
      <c r="H267" s="56"/>
      <c r="I267" s="56"/>
      <c r="J267" s="18"/>
      <c r="K267" s="18"/>
      <c r="L267" s="18"/>
      <c r="M267" s="18"/>
      <c r="N267"/>
    </row>
    <row r="268" spans="7:14" s="6" customFormat="1" ht="20.100000000000001" customHeight="1" x14ac:dyDescent="0.25">
      <c r="G268" s="56"/>
      <c r="H268" s="56"/>
      <c r="I268" s="56"/>
      <c r="J268" s="18"/>
      <c r="K268" s="18"/>
      <c r="L268" s="18"/>
      <c r="M268" s="18"/>
      <c r="N268"/>
    </row>
    <row r="269" spans="7:14" s="6" customFormat="1" ht="20.100000000000001" customHeight="1" x14ac:dyDescent="0.25">
      <c r="G269" s="56"/>
      <c r="H269" s="56"/>
      <c r="I269" s="56"/>
      <c r="J269" s="18"/>
      <c r="K269" s="18"/>
      <c r="L269" s="18"/>
      <c r="M269" s="18"/>
      <c r="N269"/>
    </row>
    <row r="270" spans="7:14" s="6" customFormat="1" ht="20.100000000000001" customHeight="1" x14ac:dyDescent="0.25">
      <c r="G270" s="56"/>
      <c r="H270" s="56"/>
      <c r="I270" s="56"/>
      <c r="J270" s="18"/>
      <c r="K270" s="18"/>
      <c r="L270" s="18"/>
      <c r="M270" s="18"/>
      <c r="N270"/>
    </row>
    <row r="271" spans="7:14" s="6" customFormat="1" ht="20.100000000000001" customHeight="1" x14ac:dyDescent="0.25">
      <c r="G271" s="56"/>
      <c r="H271" s="56"/>
      <c r="I271" s="56"/>
      <c r="J271" s="18"/>
      <c r="K271" s="18"/>
      <c r="L271" s="18"/>
      <c r="M271" s="18"/>
      <c r="N271"/>
    </row>
    <row r="272" spans="7:14" s="6" customFormat="1" ht="20.100000000000001" customHeight="1" x14ac:dyDescent="0.25">
      <c r="G272" s="56"/>
      <c r="H272" s="56"/>
      <c r="I272" s="56"/>
      <c r="J272" s="18"/>
      <c r="K272" s="18"/>
      <c r="L272" s="18"/>
      <c r="M272" s="18"/>
      <c r="N272"/>
    </row>
    <row r="273" spans="7:14" s="6" customFormat="1" ht="20.100000000000001" customHeight="1" x14ac:dyDescent="0.25">
      <c r="G273" s="56"/>
      <c r="H273" s="56"/>
      <c r="I273" s="56"/>
      <c r="J273" s="18"/>
      <c r="K273" s="18"/>
      <c r="L273" s="18"/>
      <c r="M273" s="18"/>
      <c r="N273"/>
    </row>
    <row r="274" spans="7:14" s="6" customFormat="1" ht="20.100000000000001" customHeight="1" x14ac:dyDescent="0.25">
      <c r="G274" s="56"/>
      <c r="H274" s="56"/>
      <c r="I274" s="56"/>
      <c r="J274" s="18"/>
      <c r="K274" s="18"/>
      <c r="L274" s="18"/>
      <c r="M274" s="18"/>
      <c r="N274"/>
    </row>
    <row r="275" spans="7:14" s="6" customFormat="1" ht="20.100000000000001" customHeight="1" x14ac:dyDescent="0.25">
      <c r="G275" s="56"/>
      <c r="H275" s="56"/>
      <c r="I275" s="56"/>
      <c r="J275" s="18"/>
      <c r="K275" s="18"/>
      <c r="L275" s="18"/>
      <c r="M275" s="18"/>
      <c r="N275"/>
    </row>
    <row r="276" spans="7:14" s="6" customFormat="1" ht="20.100000000000001" customHeight="1" x14ac:dyDescent="0.25">
      <c r="G276" s="56"/>
      <c r="H276" s="56"/>
      <c r="I276" s="56"/>
      <c r="J276" s="18"/>
      <c r="K276" s="18"/>
      <c r="L276" s="18"/>
      <c r="M276" s="18"/>
      <c r="N276"/>
    </row>
    <row r="277" spans="7:14" s="6" customFormat="1" ht="20.100000000000001" customHeight="1" x14ac:dyDescent="0.25">
      <c r="G277" s="56"/>
      <c r="H277" s="56"/>
      <c r="I277" s="56"/>
      <c r="J277" s="18"/>
      <c r="K277" s="18"/>
      <c r="L277" s="18"/>
      <c r="M277" s="18"/>
      <c r="N277"/>
    </row>
    <row r="278" spans="7:14" s="6" customFormat="1" ht="20.100000000000001" customHeight="1" x14ac:dyDescent="0.25">
      <c r="G278" s="56"/>
      <c r="H278" s="56"/>
      <c r="I278" s="56"/>
      <c r="J278" s="18"/>
      <c r="K278" s="18"/>
      <c r="L278" s="18"/>
      <c r="M278" s="18"/>
      <c r="N278"/>
    </row>
    <row r="279" spans="7:14" s="6" customFormat="1" ht="20.100000000000001" customHeight="1" x14ac:dyDescent="0.25">
      <c r="G279" s="56"/>
      <c r="H279" s="56"/>
      <c r="I279" s="56"/>
      <c r="J279" s="18"/>
      <c r="K279" s="18"/>
      <c r="L279" s="18"/>
      <c r="M279" s="18"/>
      <c r="N279"/>
    </row>
    <row r="280" spans="7:14" s="6" customFormat="1" ht="20.100000000000001" customHeight="1" x14ac:dyDescent="0.25">
      <c r="G280" s="56"/>
      <c r="H280" s="56"/>
      <c r="I280" s="56"/>
      <c r="J280" s="18"/>
      <c r="K280" s="18"/>
      <c r="L280" s="18"/>
      <c r="M280" s="18"/>
      <c r="N280"/>
    </row>
    <row r="281" spans="7:14" s="6" customFormat="1" ht="20.100000000000001" customHeight="1" x14ac:dyDescent="0.25">
      <c r="G281" s="56"/>
      <c r="H281" s="56"/>
      <c r="I281" s="56"/>
      <c r="J281" s="18"/>
      <c r="K281" s="18"/>
      <c r="L281" s="18"/>
      <c r="M281" s="18"/>
      <c r="N281"/>
    </row>
    <row r="282" spans="7:14" s="6" customFormat="1" ht="20.100000000000001" customHeight="1" x14ac:dyDescent="0.25">
      <c r="G282" s="56"/>
      <c r="H282" s="56"/>
      <c r="I282" s="56"/>
      <c r="J282" s="18"/>
      <c r="K282" s="18"/>
      <c r="L282" s="18"/>
      <c r="M282" s="18"/>
      <c r="N282"/>
    </row>
    <row r="283" spans="7:14" s="6" customFormat="1" ht="20.100000000000001" customHeight="1" x14ac:dyDescent="0.25">
      <c r="G283" s="56"/>
      <c r="H283" s="56"/>
      <c r="I283" s="56"/>
      <c r="J283" s="18"/>
      <c r="K283" s="18"/>
      <c r="L283" s="18"/>
      <c r="M283" s="18"/>
      <c r="N283"/>
    </row>
    <row r="284" spans="7:14" s="6" customFormat="1" ht="20.100000000000001" customHeight="1" x14ac:dyDescent="0.25">
      <c r="G284" s="56"/>
      <c r="H284" s="56"/>
      <c r="I284" s="56"/>
      <c r="J284" s="18"/>
      <c r="K284" s="18"/>
      <c r="L284" s="18"/>
      <c r="M284" s="18"/>
      <c r="N284"/>
    </row>
    <row r="285" spans="7:14" s="6" customFormat="1" ht="20.100000000000001" customHeight="1" x14ac:dyDescent="0.25">
      <c r="G285" s="56"/>
      <c r="H285" s="56"/>
      <c r="I285" s="56"/>
      <c r="J285" s="18"/>
      <c r="K285" s="18"/>
      <c r="L285" s="18"/>
      <c r="M285" s="18"/>
      <c r="N285"/>
    </row>
    <row r="286" spans="7:14" s="6" customFormat="1" ht="20.100000000000001" customHeight="1" x14ac:dyDescent="0.25">
      <c r="G286" s="56"/>
      <c r="H286" s="56"/>
      <c r="I286" s="56"/>
      <c r="J286" s="18"/>
      <c r="K286" s="18"/>
      <c r="L286" s="18"/>
      <c r="M286" s="18"/>
      <c r="N286"/>
    </row>
    <row r="287" spans="7:14" s="6" customFormat="1" ht="20.100000000000001" customHeight="1" x14ac:dyDescent="0.25">
      <c r="G287" s="56"/>
      <c r="H287" s="56"/>
      <c r="I287" s="56"/>
      <c r="J287" s="18"/>
      <c r="K287" s="18"/>
      <c r="L287" s="18"/>
      <c r="M287" s="18"/>
      <c r="N287"/>
    </row>
    <row r="288" spans="7:14" s="6" customFormat="1" ht="20.100000000000001" customHeight="1" x14ac:dyDescent="0.25">
      <c r="G288" s="56"/>
      <c r="H288" s="56"/>
      <c r="I288" s="56"/>
      <c r="J288" s="18"/>
      <c r="K288" s="18"/>
      <c r="L288" s="18"/>
      <c r="M288" s="18"/>
      <c r="N288"/>
    </row>
    <row r="289" spans="7:14" s="6" customFormat="1" ht="20.100000000000001" customHeight="1" x14ac:dyDescent="0.25">
      <c r="G289" s="56"/>
      <c r="H289" s="56"/>
      <c r="I289" s="56"/>
      <c r="J289" s="18"/>
      <c r="K289" s="18"/>
      <c r="L289" s="18"/>
      <c r="M289" s="18"/>
      <c r="N289"/>
    </row>
    <row r="290" spans="7:14" s="6" customFormat="1" ht="20.100000000000001" customHeight="1" x14ac:dyDescent="0.25">
      <c r="G290" s="56"/>
      <c r="H290" s="56"/>
      <c r="I290" s="56"/>
      <c r="J290" s="18"/>
      <c r="K290" s="18"/>
      <c r="L290" s="18"/>
      <c r="M290" s="18"/>
      <c r="N290"/>
    </row>
    <row r="291" spans="7:14" s="6" customFormat="1" ht="20.100000000000001" customHeight="1" x14ac:dyDescent="0.25">
      <c r="G291" s="56"/>
      <c r="H291" s="56"/>
      <c r="I291" s="56"/>
      <c r="J291" s="18"/>
      <c r="K291" s="18"/>
      <c r="L291" s="18"/>
      <c r="M291" s="18"/>
      <c r="N291"/>
    </row>
    <row r="292" spans="7:14" s="6" customFormat="1" ht="20.100000000000001" customHeight="1" x14ac:dyDescent="0.25">
      <c r="G292" s="56"/>
      <c r="H292" s="56"/>
      <c r="I292" s="56"/>
      <c r="J292" s="18"/>
      <c r="K292" s="18"/>
      <c r="L292" s="18"/>
      <c r="M292" s="18"/>
      <c r="N292"/>
    </row>
    <row r="293" spans="7:14" s="6" customFormat="1" ht="20.100000000000001" customHeight="1" x14ac:dyDescent="0.25">
      <c r="G293" s="56"/>
      <c r="H293" s="56"/>
      <c r="I293" s="56"/>
      <c r="J293" s="18"/>
      <c r="K293" s="18"/>
      <c r="L293" s="18"/>
      <c r="M293" s="18"/>
      <c r="N293"/>
    </row>
    <row r="294" spans="7:14" s="6" customFormat="1" ht="20.100000000000001" customHeight="1" x14ac:dyDescent="0.25">
      <c r="G294" s="56"/>
      <c r="H294" s="56"/>
      <c r="I294" s="56"/>
      <c r="J294" s="18"/>
      <c r="K294" s="18"/>
      <c r="L294" s="18"/>
      <c r="M294" s="18"/>
      <c r="N294"/>
    </row>
    <row r="295" spans="7:14" s="6" customFormat="1" ht="20.100000000000001" customHeight="1" x14ac:dyDescent="0.25">
      <c r="G295" s="56"/>
      <c r="H295" s="56"/>
      <c r="I295" s="56"/>
      <c r="J295" s="18"/>
      <c r="K295" s="18"/>
      <c r="L295" s="18"/>
      <c r="M295" s="18"/>
      <c r="N295"/>
    </row>
    <row r="296" spans="7:14" s="6" customFormat="1" ht="20.100000000000001" customHeight="1" x14ac:dyDescent="0.25">
      <c r="G296" s="56"/>
      <c r="H296" s="56"/>
      <c r="I296" s="56"/>
      <c r="J296" s="18"/>
      <c r="K296" s="18"/>
      <c r="L296" s="18"/>
      <c r="M296" s="18"/>
      <c r="N296"/>
    </row>
    <row r="297" spans="7:14" s="6" customFormat="1" ht="20.100000000000001" customHeight="1" x14ac:dyDescent="0.25">
      <c r="G297" s="56"/>
      <c r="H297" s="56"/>
      <c r="I297" s="56"/>
      <c r="J297" s="18"/>
      <c r="K297" s="18"/>
      <c r="L297" s="18"/>
      <c r="M297" s="18"/>
      <c r="N297"/>
    </row>
    <row r="298" spans="7:14" s="6" customFormat="1" ht="20.100000000000001" customHeight="1" x14ac:dyDescent="0.25">
      <c r="G298" s="56"/>
      <c r="H298" s="56"/>
      <c r="I298" s="56"/>
      <c r="J298" s="18"/>
      <c r="K298" s="18"/>
      <c r="L298" s="18"/>
      <c r="M298" s="18"/>
      <c r="N298"/>
    </row>
    <row r="299" spans="7:14" s="6" customFormat="1" ht="20.100000000000001" customHeight="1" x14ac:dyDescent="0.25">
      <c r="G299" s="56"/>
      <c r="H299" s="56"/>
      <c r="I299" s="56"/>
      <c r="J299" s="18"/>
      <c r="K299" s="18"/>
      <c r="L299" s="18"/>
      <c r="M299" s="18"/>
      <c r="N299"/>
    </row>
    <row r="300" spans="7:14" s="6" customFormat="1" ht="20.100000000000001" customHeight="1" x14ac:dyDescent="0.25">
      <c r="G300" s="56"/>
      <c r="H300" s="56"/>
      <c r="I300" s="56"/>
      <c r="J300" s="18"/>
      <c r="K300" s="18"/>
      <c r="L300" s="18"/>
      <c r="M300" s="18"/>
      <c r="N300"/>
    </row>
    <row r="301" spans="7:14" s="6" customFormat="1" ht="20.100000000000001" customHeight="1" x14ac:dyDescent="0.25">
      <c r="G301" s="56"/>
      <c r="H301" s="56"/>
      <c r="I301" s="56"/>
      <c r="J301" s="18"/>
      <c r="K301" s="18"/>
      <c r="L301" s="18"/>
      <c r="M301" s="18"/>
      <c r="N301"/>
    </row>
    <row r="302" spans="7:14" s="6" customFormat="1" ht="20.100000000000001" customHeight="1" x14ac:dyDescent="0.25">
      <c r="G302" s="56"/>
      <c r="H302" s="56"/>
      <c r="I302" s="56"/>
      <c r="J302" s="18"/>
      <c r="K302" s="18"/>
      <c r="L302" s="18"/>
      <c r="M302" s="18"/>
      <c r="N302"/>
    </row>
    <row r="303" spans="7:14" s="6" customFormat="1" ht="20.100000000000001" customHeight="1" x14ac:dyDescent="0.25">
      <c r="G303" s="56"/>
      <c r="H303" s="56"/>
      <c r="I303" s="56"/>
      <c r="J303" s="18"/>
      <c r="K303" s="18"/>
      <c r="L303" s="18"/>
      <c r="M303" s="18"/>
      <c r="N303"/>
    </row>
    <row r="304" spans="7:14" s="6" customFormat="1" ht="20.100000000000001" customHeight="1" x14ac:dyDescent="0.25">
      <c r="G304" s="56"/>
      <c r="H304" s="56"/>
      <c r="I304" s="56"/>
      <c r="J304" s="18"/>
      <c r="K304" s="18"/>
      <c r="L304" s="18"/>
      <c r="M304" s="18"/>
      <c r="N304"/>
    </row>
    <row r="305" spans="7:14" s="6" customFormat="1" ht="20.100000000000001" customHeight="1" x14ac:dyDescent="0.25">
      <c r="G305" s="56"/>
      <c r="H305" s="56"/>
      <c r="I305" s="56"/>
      <c r="J305" s="18"/>
      <c r="K305" s="18"/>
      <c r="L305" s="18"/>
      <c r="M305" s="18"/>
      <c r="N305"/>
    </row>
    <row r="306" spans="7:14" s="6" customFormat="1" ht="20.100000000000001" customHeight="1" x14ac:dyDescent="0.25">
      <c r="G306" s="56"/>
      <c r="H306" s="56"/>
      <c r="I306" s="56"/>
      <c r="J306" s="18"/>
      <c r="K306" s="18"/>
      <c r="L306" s="18"/>
      <c r="M306" s="18"/>
      <c r="N306"/>
    </row>
    <row r="307" spans="7:14" s="6" customFormat="1" ht="20.100000000000001" customHeight="1" x14ac:dyDescent="0.25">
      <c r="G307" s="56"/>
      <c r="H307" s="56"/>
      <c r="I307" s="56"/>
      <c r="J307" s="18"/>
      <c r="K307" s="18"/>
      <c r="L307" s="18"/>
      <c r="M307" s="18"/>
      <c r="N307"/>
    </row>
    <row r="308" spans="7:14" s="6" customFormat="1" ht="20.100000000000001" customHeight="1" x14ac:dyDescent="0.25">
      <c r="G308" s="56"/>
      <c r="H308" s="56"/>
      <c r="I308" s="56"/>
      <c r="J308" s="18"/>
      <c r="K308" s="18"/>
      <c r="L308" s="18"/>
      <c r="M308" s="18"/>
      <c r="N308"/>
    </row>
    <row r="309" spans="7:14" s="6" customFormat="1" ht="20.100000000000001" customHeight="1" x14ac:dyDescent="0.25">
      <c r="G309" s="56"/>
      <c r="H309" s="56"/>
      <c r="I309" s="56"/>
      <c r="J309" s="18"/>
      <c r="K309" s="18"/>
      <c r="L309" s="18"/>
      <c r="M309" s="18"/>
      <c r="N309"/>
    </row>
    <row r="310" spans="7:14" s="6" customFormat="1" ht="20.100000000000001" customHeight="1" x14ac:dyDescent="0.25">
      <c r="G310" s="56"/>
      <c r="H310" s="56"/>
      <c r="I310" s="56"/>
      <c r="J310" s="18"/>
      <c r="K310" s="18"/>
      <c r="L310" s="18"/>
      <c r="M310" s="18"/>
      <c r="N310"/>
    </row>
    <row r="311" spans="7:14" s="6" customFormat="1" ht="20.100000000000001" customHeight="1" x14ac:dyDescent="0.25">
      <c r="G311" s="56"/>
      <c r="H311" s="56"/>
      <c r="I311" s="56"/>
      <c r="J311" s="18"/>
      <c r="K311" s="18"/>
      <c r="L311" s="18"/>
      <c r="M311" s="18"/>
      <c r="N311"/>
    </row>
    <row r="312" spans="7:14" s="6" customFormat="1" ht="20.100000000000001" customHeight="1" x14ac:dyDescent="0.25">
      <c r="G312" s="56"/>
      <c r="H312" s="56"/>
      <c r="I312" s="56"/>
      <c r="J312" s="18"/>
      <c r="K312" s="18"/>
      <c r="L312" s="18"/>
      <c r="M312" s="18"/>
      <c r="N312"/>
    </row>
    <row r="313" spans="7:14" s="6" customFormat="1" ht="20.100000000000001" customHeight="1" x14ac:dyDescent="0.25">
      <c r="G313" s="56"/>
      <c r="H313" s="56"/>
      <c r="I313" s="56"/>
      <c r="J313" s="18"/>
      <c r="K313" s="18"/>
      <c r="L313" s="18"/>
      <c r="M313" s="18"/>
      <c r="N313"/>
    </row>
    <row r="314" spans="7:14" s="6" customFormat="1" ht="20.100000000000001" customHeight="1" x14ac:dyDescent="0.25">
      <c r="G314" s="56"/>
      <c r="H314" s="56"/>
      <c r="I314" s="56"/>
      <c r="J314" s="18"/>
      <c r="K314" s="18"/>
      <c r="L314" s="18"/>
      <c r="M314" s="18"/>
      <c r="N314"/>
    </row>
    <row r="315" spans="7:14" s="6" customFormat="1" ht="20.100000000000001" customHeight="1" x14ac:dyDescent="0.25">
      <c r="G315" s="56"/>
      <c r="H315" s="56"/>
      <c r="I315" s="56"/>
      <c r="J315" s="18"/>
      <c r="K315" s="18"/>
      <c r="L315" s="18"/>
      <c r="M315" s="18"/>
      <c r="N315"/>
    </row>
    <row r="316" spans="7:14" s="6" customFormat="1" ht="20.100000000000001" customHeight="1" x14ac:dyDescent="0.25">
      <c r="G316" s="56"/>
      <c r="H316" s="56"/>
      <c r="I316" s="56"/>
      <c r="J316" s="18"/>
      <c r="K316" s="18"/>
      <c r="L316" s="18"/>
      <c r="M316" s="18"/>
      <c r="N316"/>
    </row>
    <row r="317" spans="7:14" s="6" customFormat="1" ht="20.100000000000001" customHeight="1" x14ac:dyDescent="0.25">
      <c r="G317" s="56"/>
      <c r="H317" s="56"/>
      <c r="I317" s="56"/>
      <c r="J317" s="18"/>
      <c r="K317" s="18"/>
      <c r="L317" s="18"/>
      <c r="M317" s="18"/>
      <c r="N317"/>
    </row>
    <row r="318" spans="7:14" s="6" customFormat="1" ht="20.100000000000001" customHeight="1" x14ac:dyDescent="0.25">
      <c r="G318" s="56"/>
      <c r="H318" s="56"/>
      <c r="I318" s="56"/>
      <c r="J318" s="18"/>
      <c r="K318" s="18"/>
      <c r="L318" s="18"/>
      <c r="M318" s="18"/>
      <c r="N318"/>
    </row>
    <row r="319" spans="7:14" s="6" customFormat="1" ht="20.100000000000001" customHeight="1" x14ac:dyDescent="0.25">
      <c r="G319" s="56"/>
      <c r="H319" s="56"/>
      <c r="I319" s="56"/>
      <c r="J319" s="18"/>
      <c r="K319" s="18"/>
      <c r="L319" s="18"/>
      <c r="M319" s="18"/>
      <c r="N319"/>
    </row>
    <row r="320" spans="7:14" s="6" customFormat="1" ht="20.100000000000001" customHeight="1" x14ac:dyDescent="0.25">
      <c r="G320" s="56"/>
      <c r="H320" s="56"/>
      <c r="I320" s="56"/>
      <c r="J320" s="18"/>
      <c r="K320" s="18"/>
      <c r="L320" s="18"/>
      <c r="M320" s="18"/>
      <c r="N320"/>
    </row>
    <row r="321" spans="7:14" s="6" customFormat="1" ht="20.100000000000001" customHeight="1" x14ac:dyDescent="0.25">
      <c r="G321" s="56"/>
      <c r="H321" s="56"/>
      <c r="I321" s="56"/>
      <c r="J321" s="18"/>
      <c r="K321" s="18"/>
      <c r="L321" s="18"/>
      <c r="M321" s="18"/>
      <c r="N321"/>
    </row>
    <row r="322" spans="7:14" s="6" customFormat="1" ht="20.100000000000001" customHeight="1" x14ac:dyDescent="0.25">
      <c r="G322" s="56"/>
      <c r="H322" s="56"/>
      <c r="I322" s="56"/>
      <c r="J322" s="18"/>
      <c r="K322" s="18"/>
      <c r="L322" s="18"/>
      <c r="M322" s="18"/>
      <c r="N322"/>
    </row>
    <row r="323" spans="7:14" s="6" customFormat="1" ht="20.100000000000001" customHeight="1" x14ac:dyDescent="0.25">
      <c r="G323" s="56"/>
      <c r="H323" s="56"/>
      <c r="I323" s="56"/>
      <c r="J323" s="18"/>
      <c r="K323" s="18"/>
      <c r="L323" s="18"/>
      <c r="M323" s="18"/>
      <c r="N323"/>
    </row>
    <row r="324" spans="7:14" s="6" customFormat="1" ht="20.100000000000001" customHeight="1" x14ac:dyDescent="0.25">
      <c r="G324" s="56"/>
      <c r="H324" s="56"/>
      <c r="I324" s="56"/>
      <c r="J324" s="18"/>
      <c r="K324" s="18"/>
      <c r="L324" s="18"/>
      <c r="M324" s="18"/>
      <c r="N324"/>
    </row>
    <row r="325" spans="7:14" s="6" customFormat="1" ht="20.100000000000001" customHeight="1" x14ac:dyDescent="0.25">
      <c r="G325" s="56"/>
      <c r="H325" s="56"/>
      <c r="I325" s="56"/>
      <c r="J325" s="18"/>
      <c r="K325" s="18"/>
      <c r="L325" s="18"/>
      <c r="M325" s="18"/>
      <c r="N325"/>
    </row>
    <row r="326" spans="7:14" s="6" customFormat="1" ht="20.100000000000001" customHeight="1" x14ac:dyDescent="0.25">
      <c r="G326" s="56"/>
      <c r="H326" s="56"/>
      <c r="I326" s="56"/>
      <c r="J326" s="18"/>
      <c r="K326" s="18"/>
      <c r="L326" s="18"/>
      <c r="M326" s="18"/>
      <c r="N326"/>
    </row>
    <row r="327" spans="7:14" s="6" customFormat="1" ht="20.100000000000001" customHeight="1" x14ac:dyDescent="0.25">
      <c r="G327" s="56"/>
      <c r="H327" s="56"/>
      <c r="I327" s="56"/>
      <c r="J327" s="18"/>
      <c r="K327" s="18"/>
      <c r="L327" s="18"/>
      <c r="M327" s="18"/>
      <c r="N327"/>
    </row>
    <row r="328" spans="7:14" s="6" customFormat="1" ht="20.100000000000001" customHeight="1" x14ac:dyDescent="0.25">
      <c r="G328" s="56"/>
      <c r="H328" s="56"/>
      <c r="I328" s="56"/>
      <c r="J328" s="18"/>
      <c r="K328" s="18"/>
      <c r="L328" s="18"/>
      <c r="M328" s="18"/>
      <c r="N328"/>
    </row>
    <row r="329" spans="7:14" s="6" customFormat="1" ht="20.100000000000001" customHeight="1" x14ac:dyDescent="0.25">
      <c r="G329" s="56"/>
      <c r="H329" s="56"/>
      <c r="I329" s="56"/>
      <c r="J329" s="18"/>
      <c r="K329" s="18"/>
      <c r="L329" s="18"/>
      <c r="M329" s="18"/>
      <c r="N329"/>
    </row>
    <row r="330" spans="7:14" s="6" customFormat="1" ht="20.100000000000001" customHeight="1" x14ac:dyDescent="0.25">
      <c r="G330" s="56"/>
      <c r="H330" s="56"/>
      <c r="I330" s="56"/>
      <c r="J330" s="18"/>
      <c r="K330" s="18"/>
      <c r="L330" s="18"/>
      <c r="M330" s="18"/>
      <c r="N330"/>
    </row>
    <row r="331" spans="7:14" s="6" customFormat="1" ht="20.100000000000001" customHeight="1" x14ac:dyDescent="0.25">
      <c r="G331" s="56"/>
      <c r="H331" s="56"/>
      <c r="I331" s="56"/>
      <c r="J331" s="18"/>
      <c r="K331" s="18"/>
      <c r="L331" s="18"/>
      <c r="M331" s="18"/>
      <c r="N331"/>
    </row>
    <row r="332" spans="7:14" s="6" customFormat="1" ht="20.100000000000001" customHeight="1" x14ac:dyDescent="0.25">
      <c r="G332" s="56"/>
      <c r="H332" s="56"/>
      <c r="I332" s="56"/>
      <c r="J332" s="18"/>
      <c r="K332" s="18"/>
      <c r="L332" s="18"/>
      <c r="M332" s="18"/>
      <c r="N332"/>
    </row>
    <row r="333" spans="7:14" s="6" customFormat="1" ht="20.100000000000001" customHeight="1" x14ac:dyDescent="0.25">
      <c r="G333" s="56"/>
      <c r="H333" s="56"/>
      <c r="I333" s="56"/>
      <c r="J333" s="18"/>
      <c r="K333" s="18"/>
      <c r="L333" s="18"/>
      <c r="M333" s="18"/>
      <c r="N333"/>
    </row>
    <row r="334" spans="7:14" s="6" customFormat="1" ht="20.100000000000001" customHeight="1" x14ac:dyDescent="0.25">
      <c r="G334" s="56"/>
      <c r="H334" s="56"/>
      <c r="I334" s="56"/>
      <c r="J334" s="18"/>
      <c r="K334" s="18"/>
      <c r="L334" s="18"/>
      <c r="M334" s="18"/>
      <c r="N334"/>
    </row>
    <row r="335" spans="7:14" s="6" customFormat="1" ht="20.100000000000001" customHeight="1" x14ac:dyDescent="0.25">
      <c r="G335" s="56"/>
      <c r="H335" s="56"/>
      <c r="I335" s="56"/>
      <c r="J335" s="18"/>
      <c r="K335" s="18"/>
      <c r="L335" s="18"/>
      <c r="M335" s="18"/>
      <c r="N335"/>
    </row>
    <row r="336" spans="7:14" s="6" customFormat="1" ht="20.100000000000001" customHeight="1" x14ac:dyDescent="0.25">
      <c r="G336" s="56"/>
      <c r="H336" s="56"/>
      <c r="I336" s="56"/>
      <c r="J336" s="18"/>
      <c r="K336" s="18"/>
      <c r="L336" s="18"/>
      <c r="M336" s="18"/>
      <c r="N336"/>
    </row>
    <row r="337" spans="7:14" s="6" customFormat="1" ht="20.100000000000001" customHeight="1" x14ac:dyDescent="0.25">
      <c r="G337" s="56"/>
      <c r="H337" s="56"/>
      <c r="I337" s="56"/>
      <c r="J337" s="18"/>
      <c r="K337" s="18"/>
      <c r="L337" s="18"/>
      <c r="M337" s="18"/>
      <c r="N337"/>
    </row>
    <row r="338" spans="7:14" s="6" customFormat="1" ht="20.100000000000001" customHeight="1" x14ac:dyDescent="0.25">
      <c r="G338" s="56"/>
      <c r="H338" s="56"/>
      <c r="I338" s="56"/>
      <c r="J338" s="18"/>
      <c r="K338" s="18"/>
      <c r="L338" s="18"/>
      <c r="M338" s="18"/>
      <c r="N338"/>
    </row>
    <row r="339" spans="7:14" s="6" customFormat="1" ht="20.100000000000001" customHeight="1" x14ac:dyDescent="0.25">
      <c r="G339" s="56"/>
      <c r="H339" s="56"/>
      <c r="I339" s="56"/>
      <c r="J339" s="18"/>
      <c r="K339" s="18"/>
      <c r="L339" s="18"/>
      <c r="M339" s="18"/>
      <c r="N339"/>
    </row>
    <row r="340" spans="7:14" s="6" customFormat="1" ht="20.100000000000001" customHeight="1" x14ac:dyDescent="0.25">
      <c r="G340" s="56"/>
      <c r="H340" s="56"/>
      <c r="I340" s="56"/>
      <c r="J340" s="18"/>
      <c r="K340" s="18"/>
      <c r="L340" s="18"/>
      <c r="M340" s="18"/>
      <c r="N340"/>
    </row>
    <row r="341" spans="7:14" s="6" customFormat="1" ht="20.100000000000001" customHeight="1" x14ac:dyDescent="0.25">
      <c r="G341" s="56"/>
      <c r="H341" s="56"/>
      <c r="I341" s="56"/>
      <c r="J341" s="18"/>
      <c r="K341" s="18"/>
      <c r="L341" s="18"/>
      <c r="M341" s="18"/>
      <c r="N341"/>
    </row>
    <row r="342" spans="7:14" s="6" customFormat="1" ht="20.100000000000001" customHeight="1" x14ac:dyDescent="0.25">
      <c r="G342" s="56"/>
      <c r="H342" s="56"/>
      <c r="I342" s="56"/>
      <c r="J342" s="18"/>
      <c r="K342" s="18"/>
      <c r="L342" s="18"/>
      <c r="M342" s="18"/>
      <c r="N342"/>
    </row>
    <row r="343" spans="7:14" s="6" customFormat="1" ht="20.100000000000001" customHeight="1" x14ac:dyDescent="0.25">
      <c r="G343" s="56"/>
      <c r="H343" s="56"/>
      <c r="I343" s="56"/>
      <c r="J343" s="18"/>
      <c r="K343" s="18"/>
      <c r="L343" s="18"/>
      <c r="M343" s="18"/>
      <c r="N343"/>
    </row>
    <row r="344" spans="7:14" s="6" customFormat="1" ht="20.100000000000001" customHeight="1" x14ac:dyDescent="0.25">
      <c r="G344" s="56"/>
      <c r="H344" s="56"/>
      <c r="I344" s="56"/>
      <c r="J344" s="18"/>
      <c r="K344" s="18"/>
      <c r="L344" s="18"/>
      <c r="M344" s="18"/>
      <c r="N344"/>
    </row>
    <row r="345" spans="7:14" s="6" customFormat="1" ht="20.100000000000001" customHeight="1" x14ac:dyDescent="0.25">
      <c r="G345" s="56"/>
      <c r="H345" s="56"/>
      <c r="I345" s="56"/>
      <c r="J345" s="18"/>
      <c r="K345" s="18"/>
      <c r="L345" s="18"/>
      <c r="M345" s="18"/>
      <c r="N345"/>
    </row>
    <row r="346" spans="7:14" s="6" customFormat="1" ht="20.100000000000001" customHeight="1" x14ac:dyDescent="0.25">
      <c r="G346" s="56"/>
      <c r="H346" s="56"/>
      <c r="I346" s="56"/>
      <c r="J346" s="18"/>
      <c r="K346" s="18"/>
      <c r="L346" s="18"/>
      <c r="M346" s="18"/>
      <c r="N346"/>
    </row>
    <row r="347" spans="7:14" s="6" customFormat="1" ht="20.100000000000001" customHeight="1" x14ac:dyDescent="0.25">
      <c r="G347" s="56"/>
      <c r="H347" s="56"/>
      <c r="I347" s="56"/>
      <c r="J347" s="18"/>
      <c r="K347" s="18"/>
      <c r="L347" s="18"/>
      <c r="M347" s="18"/>
      <c r="N347"/>
    </row>
    <row r="348" spans="7:14" s="6" customFormat="1" ht="20.100000000000001" customHeight="1" x14ac:dyDescent="0.25">
      <c r="G348" s="56"/>
      <c r="H348" s="56"/>
      <c r="I348" s="56"/>
      <c r="J348" s="18"/>
      <c r="K348" s="18"/>
      <c r="L348" s="18"/>
      <c r="M348" s="18"/>
      <c r="N348"/>
    </row>
    <row r="349" spans="7:14" s="6" customFormat="1" ht="20.100000000000001" customHeight="1" x14ac:dyDescent="0.25">
      <c r="G349" s="56"/>
      <c r="H349" s="56"/>
      <c r="I349" s="56"/>
      <c r="J349" s="18"/>
      <c r="K349" s="18"/>
      <c r="L349" s="18"/>
      <c r="M349" s="18"/>
      <c r="N349"/>
    </row>
    <row r="350" spans="7:14" s="6" customFormat="1" ht="20.100000000000001" customHeight="1" x14ac:dyDescent="0.25">
      <c r="G350" s="56"/>
      <c r="H350" s="56"/>
      <c r="I350" s="56"/>
      <c r="J350" s="18"/>
      <c r="K350" s="18"/>
      <c r="L350" s="18"/>
      <c r="M350" s="18"/>
      <c r="N350"/>
    </row>
    <row r="351" spans="7:14" s="6" customFormat="1" ht="20.100000000000001" customHeight="1" x14ac:dyDescent="0.25">
      <c r="G351" s="56"/>
      <c r="H351" s="56"/>
      <c r="I351" s="56"/>
      <c r="J351" s="18"/>
      <c r="K351" s="18"/>
      <c r="L351" s="18"/>
      <c r="M351" s="18"/>
      <c r="N351"/>
    </row>
    <row r="352" spans="7:14" s="6" customFormat="1" ht="20.100000000000001" customHeight="1" x14ac:dyDescent="0.25">
      <c r="G352" s="56"/>
      <c r="H352" s="56"/>
      <c r="I352" s="56"/>
      <c r="J352" s="18"/>
      <c r="K352" s="18"/>
      <c r="L352" s="18"/>
      <c r="M352" s="18"/>
      <c r="N352"/>
    </row>
    <row r="353" spans="7:14" s="6" customFormat="1" ht="20.100000000000001" customHeight="1" x14ac:dyDescent="0.25">
      <c r="G353" s="56"/>
      <c r="H353" s="56"/>
      <c r="I353" s="56"/>
      <c r="J353" s="18"/>
      <c r="K353" s="18"/>
      <c r="L353" s="18"/>
      <c r="M353" s="18"/>
      <c r="N353"/>
    </row>
    <row r="354" spans="7:14" s="6" customFormat="1" ht="20.100000000000001" customHeight="1" x14ac:dyDescent="0.25">
      <c r="G354" s="56"/>
      <c r="H354" s="56"/>
      <c r="I354" s="56"/>
      <c r="J354" s="18"/>
      <c r="K354" s="18"/>
      <c r="L354" s="18"/>
      <c r="M354" s="18"/>
      <c r="N354"/>
    </row>
    <row r="355" spans="7:14" s="6" customFormat="1" ht="20.100000000000001" customHeight="1" x14ac:dyDescent="0.25">
      <c r="G355" s="56"/>
      <c r="H355" s="56"/>
      <c r="I355" s="56"/>
      <c r="J355" s="18"/>
      <c r="K355" s="18"/>
      <c r="L355" s="18"/>
      <c r="M355" s="18"/>
      <c r="N355"/>
    </row>
    <row r="356" spans="7:14" s="6" customFormat="1" ht="20.100000000000001" customHeight="1" x14ac:dyDescent="0.25">
      <c r="G356" s="56"/>
      <c r="H356" s="56"/>
      <c r="I356" s="56"/>
      <c r="J356" s="18"/>
      <c r="K356" s="18"/>
      <c r="L356" s="18"/>
      <c r="M356" s="18"/>
      <c r="N356"/>
    </row>
    <row r="357" spans="7:14" s="6" customFormat="1" ht="20.100000000000001" customHeight="1" x14ac:dyDescent="0.25">
      <c r="G357" s="56"/>
      <c r="H357" s="56"/>
      <c r="I357" s="56"/>
      <c r="J357" s="18"/>
      <c r="K357" s="18"/>
      <c r="L357" s="18"/>
      <c r="M357" s="18"/>
      <c r="N357"/>
    </row>
    <row r="358" spans="7:14" s="6" customFormat="1" ht="20.100000000000001" customHeight="1" x14ac:dyDescent="0.25">
      <c r="G358" s="56"/>
      <c r="H358" s="56"/>
      <c r="I358" s="56"/>
      <c r="J358" s="18"/>
      <c r="K358" s="18"/>
      <c r="L358" s="18"/>
      <c r="M358" s="18"/>
      <c r="N358"/>
    </row>
    <row r="359" spans="7:14" s="6" customFormat="1" ht="20.100000000000001" customHeight="1" x14ac:dyDescent="0.25">
      <c r="G359" s="56"/>
      <c r="H359" s="56"/>
      <c r="I359" s="56"/>
      <c r="J359" s="18"/>
      <c r="K359" s="18"/>
      <c r="L359" s="18"/>
      <c r="M359" s="18"/>
      <c r="N359"/>
    </row>
    <row r="360" spans="7:14" s="6" customFormat="1" ht="20.100000000000001" customHeight="1" x14ac:dyDescent="0.25">
      <c r="G360" s="56"/>
      <c r="H360" s="56"/>
      <c r="I360" s="56"/>
      <c r="J360" s="18"/>
      <c r="K360" s="18"/>
      <c r="L360" s="18"/>
      <c r="M360" s="18"/>
      <c r="N360"/>
    </row>
    <row r="361" spans="7:14" s="6" customFormat="1" ht="20.100000000000001" customHeight="1" x14ac:dyDescent="0.25">
      <c r="G361" s="56"/>
      <c r="H361" s="56"/>
      <c r="I361" s="56"/>
      <c r="J361" s="18"/>
      <c r="K361" s="18"/>
      <c r="L361" s="18"/>
      <c r="M361" s="18"/>
      <c r="N361"/>
    </row>
    <row r="362" spans="7:14" s="6" customFormat="1" ht="20.100000000000001" customHeight="1" x14ac:dyDescent="0.25">
      <c r="G362" s="56"/>
      <c r="H362" s="56"/>
      <c r="I362" s="56"/>
      <c r="J362" s="18"/>
      <c r="K362" s="18"/>
      <c r="L362" s="18"/>
      <c r="M362" s="18"/>
      <c r="N362"/>
    </row>
    <row r="363" spans="7:14" s="6" customFormat="1" ht="20.100000000000001" customHeight="1" x14ac:dyDescent="0.25">
      <c r="G363" s="56"/>
      <c r="H363" s="56"/>
      <c r="I363" s="56"/>
      <c r="J363" s="18"/>
      <c r="K363" s="18"/>
      <c r="L363" s="18"/>
      <c r="M363" s="18"/>
      <c r="N363"/>
    </row>
    <row r="364" spans="7:14" s="6" customFormat="1" ht="20.100000000000001" customHeight="1" x14ac:dyDescent="0.25">
      <c r="G364" s="56"/>
      <c r="H364" s="56"/>
      <c r="I364" s="56"/>
      <c r="J364" s="18"/>
      <c r="K364" s="18"/>
      <c r="L364" s="18"/>
      <c r="M364" s="18"/>
      <c r="N364"/>
    </row>
    <row r="365" spans="7:14" s="6" customFormat="1" ht="20.100000000000001" customHeight="1" x14ac:dyDescent="0.25">
      <c r="G365" s="56"/>
      <c r="H365" s="56"/>
      <c r="I365" s="56"/>
      <c r="J365" s="18"/>
      <c r="K365" s="18"/>
      <c r="L365" s="18"/>
      <c r="M365" s="18"/>
      <c r="N365"/>
    </row>
    <row r="366" spans="7:14" s="6" customFormat="1" ht="20.100000000000001" customHeight="1" x14ac:dyDescent="0.25">
      <c r="G366" s="56"/>
      <c r="H366" s="56"/>
      <c r="I366" s="56"/>
      <c r="J366" s="18"/>
      <c r="K366" s="18"/>
      <c r="L366" s="18"/>
      <c r="M366" s="18"/>
      <c r="N366"/>
    </row>
    <row r="367" spans="7:14" s="6" customFormat="1" ht="20.100000000000001" customHeight="1" x14ac:dyDescent="0.25">
      <c r="G367" s="56"/>
      <c r="H367" s="56"/>
      <c r="I367" s="56"/>
      <c r="J367" s="18"/>
      <c r="K367" s="18"/>
      <c r="L367" s="18"/>
      <c r="M367" s="18"/>
      <c r="N367"/>
    </row>
    <row r="368" spans="7:14" s="6" customFormat="1" ht="20.100000000000001" customHeight="1" x14ac:dyDescent="0.25">
      <c r="G368" s="56"/>
      <c r="H368" s="56"/>
      <c r="I368" s="56"/>
      <c r="J368" s="18"/>
      <c r="K368" s="18"/>
      <c r="L368" s="18"/>
      <c r="M368" s="18"/>
      <c r="N368"/>
    </row>
    <row r="369" spans="7:14" s="6" customFormat="1" ht="20.100000000000001" customHeight="1" x14ac:dyDescent="0.25">
      <c r="G369" s="56"/>
      <c r="H369" s="56"/>
      <c r="I369" s="56"/>
      <c r="J369" s="18"/>
      <c r="K369" s="18"/>
      <c r="L369" s="18"/>
      <c r="M369" s="18"/>
      <c r="N369"/>
    </row>
    <row r="370" spans="7:14" s="6" customFormat="1" ht="20.100000000000001" customHeight="1" x14ac:dyDescent="0.25">
      <c r="G370" s="56"/>
      <c r="H370" s="56"/>
      <c r="I370" s="56"/>
      <c r="J370" s="18"/>
      <c r="K370" s="18"/>
      <c r="L370" s="18"/>
      <c r="M370" s="18"/>
      <c r="N370"/>
    </row>
    <row r="371" spans="7:14" s="6" customFormat="1" ht="20.100000000000001" customHeight="1" x14ac:dyDescent="0.25">
      <c r="G371" s="56"/>
      <c r="H371" s="56"/>
      <c r="I371" s="56"/>
      <c r="J371" s="18"/>
      <c r="K371" s="18"/>
      <c r="L371" s="18"/>
      <c r="M371" s="18"/>
      <c r="N371"/>
    </row>
    <row r="372" spans="7:14" s="6" customFormat="1" ht="20.100000000000001" customHeight="1" x14ac:dyDescent="0.25">
      <c r="G372" s="56"/>
      <c r="H372" s="56"/>
      <c r="I372" s="56"/>
      <c r="J372" s="18"/>
      <c r="K372" s="18"/>
      <c r="L372" s="18"/>
      <c r="M372" s="18"/>
      <c r="N372"/>
    </row>
    <row r="373" spans="7:14" s="6" customFormat="1" ht="20.100000000000001" customHeight="1" x14ac:dyDescent="0.25">
      <c r="G373" s="56"/>
      <c r="H373" s="56"/>
      <c r="I373" s="56"/>
      <c r="J373" s="18"/>
      <c r="K373" s="18"/>
      <c r="L373" s="18"/>
      <c r="M373" s="18"/>
      <c r="N373"/>
    </row>
    <row r="374" spans="7:14" s="6" customFormat="1" ht="20.100000000000001" customHeight="1" x14ac:dyDescent="0.25">
      <c r="G374" s="56"/>
      <c r="H374" s="56"/>
      <c r="I374" s="56"/>
      <c r="J374" s="18"/>
      <c r="K374" s="18"/>
      <c r="L374" s="18"/>
      <c r="M374" s="18"/>
      <c r="N374"/>
    </row>
    <row r="375" spans="7:14" s="6" customFormat="1" ht="20.100000000000001" customHeight="1" x14ac:dyDescent="0.25">
      <c r="G375" s="56"/>
      <c r="H375" s="56"/>
      <c r="I375" s="56"/>
      <c r="J375" s="18"/>
      <c r="K375" s="18"/>
      <c r="L375" s="18"/>
      <c r="M375" s="18"/>
      <c r="N375"/>
    </row>
    <row r="376" spans="7:14" s="6" customFormat="1" ht="20.100000000000001" customHeight="1" x14ac:dyDescent="0.25">
      <c r="G376" s="56"/>
      <c r="H376" s="56"/>
      <c r="I376" s="56"/>
      <c r="J376" s="18"/>
      <c r="K376" s="18"/>
      <c r="L376" s="18"/>
      <c r="M376" s="18"/>
      <c r="N376"/>
    </row>
    <row r="377" spans="7:14" s="6" customFormat="1" ht="20.100000000000001" customHeight="1" x14ac:dyDescent="0.25">
      <c r="G377" s="56"/>
      <c r="H377" s="56"/>
      <c r="I377" s="56"/>
      <c r="J377" s="18"/>
      <c r="K377" s="18"/>
      <c r="L377" s="18"/>
      <c r="M377" s="18"/>
      <c r="N377"/>
    </row>
    <row r="378" spans="7:14" s="6" customFormat="1" ht="20.100000000000001" customHeight="1" x14ac:dyDescent="0.25">
      <c r="G378" s="56"/>
      <c r="H378" s="56"/>
      <c r="I378" s="56"/>
      <c r="J378" s="18"/>
      <c r="K378" s="18"/>
      <c r="L378" s="18"/>
      <c r="M378" s="18"/>
      <c r="N378"/>
    </row>
    <row r="379" spans="7:14" s="6" customFormat="1" ht="20.100000000000001" customHeight="1" x14ac:dyDescent="0.25">
      <c r="G379" s="56"/>
      <c r="H379" s="56"/>
      <c r="I379" s="56"/>
      <c r="J379" s="18"/>
      <c r="K379" s="18"/>
      <c r="L379" s="18"/>
      <c r="M379" s="18"/>
      <c r="N379"/>
    </row>
    <row r="380" spans="7:14" s="6" customFormat="1" ht="20.100000000000001" customHeight="1" x14ac:dyDescent="0.25">
      <c r="G380" s="56"/>
      <c r="H380" s="56"/>
      <c r="I380" s="56"/>
      <c r="J380" s="18"/>
      <c r="K380" s="18"/>
      <c r="L380" s="18"/>
      <c r="M380" s="18"/>
      <c r="N380"/>
    </row>
    <row r="381" spans="7:14" s="6" customFormat="1" ht="20.100000000000001" customHeight="1" x14ac:dyDescent="0.25">
      <c r="G381" s="56"/>
      <c r="H381" s="56"/>
      <c r="I381" s="56"/>
      <c r="J381" s="18"/>
      <c r="K381" s="18"/>
      <c r="L381" s="18"/>
      <c r="M381" s="18"/>
      <c r="N381"/>
    </row>
    <row r="382" spans="7:14" s="6" customFormat="1" ht="20.100000000000001" customHeight="1" x14ac:dyDescent="0.25">
      <c r="G382" s="56"/>
      <c r="H382" s="56"/>
      <c r="I382" s="56"/>
      <c r="J382" s="18"/>
      <c r="K382" s="18"/>
      <c r="L382" s="18"/>
      <c r="M382" s="18"/>
      <c r="N382"/>
    </row>
    <row r="383" spans="7:14" s="6" customFormat="1" ht="20.100000000000001" customHeight="1" x14ac:dyDescent="0.25">
      <c r="G383" s="56"/>
      <c r="H383" s="56"/>
      <c r="I383" s="56"/>
      <c r="J383" s="18"/>
      <c r="K383" s="18"/>
      <c r="L383" s="18"/>
      <c r="M383" s="18"/>
      <c r="N383"/>
    </row>
    <row r="384" spans="7:14" s="6" customFormat="1" ht="20.100000000000001" customHeight="1" x14ac:dyDescent="0.25">
      <c r="G384" s="56"/>
      <c r="H384" s="56"/>
      <c r="I384" s="56"/>
      <c r="J384" s="18"/>
      <c r="K384" s="18"/>
      <c r="L384" s="18"/>
      <c r="M384" s="18"/>
      <c r="N384"/>
    </row>
    <row r="385" spans="7:14" s="6" customFormat="1" ht="20.100000000000001" customHeight="1" x14ac:dyDescent="0.25">
      <c r="G385" s="56"/>
      <c r="H385" s="56"/>
      <c r="I385" s="56"/>
      <c r="J385" s="18"/>
      <c r="K385" s="18"/>
      <c r="L385" s="18"/>
      <c r="M385" s="18"/>
      <c r="N385"/>
    </row>
    <row r="386" spans="7:14" s="6" customFormat="1" ht="20.100000000000001" customHeight="1" x14ac:dyDescent="0.25">
      <c r="G386" s="56"/>
      <c r="H386" s="56"/>
      <c r="I386" s="56"/>
      <c r="J386" s="18"/>
      <c r="K386" s="18"/>
      <c r="L386" s="18"/>
      <c r="M386" s="18"/>
      <c r="N386"/>
    </row>
    <row r="387" spans="7:14" s="6" customFormat="1" ht="20.100000000000001" customHeight="1" x14ac:dyDescent="0.25">
      <c r="G387" s="56"/>
      <c r="H387" s="56"/>
      <c r="I387" s="56"/>
      <c r="J387" s="18"/>
      <c r="K387" s="18"/>
      <c r="L387" s="18"/>
      <c r="M387" s="18"/>
      <c r="N387"/>
    </row>
    <row r="388" spans="7:14" s="6" customFormat="1" ht="20.100000000000001" customHeight="1" x14ac:dyDescent="0.25">
      <c r="G388" s="56"/>
      <c r="H388" s="56"/>
      <c r="I388" s="56"/>
      <c r="J388" s="18"/>
      <c r="K388" s="18"/>
      <c r="L388" s="18"/>
      <c r="M388" s="18"/>
      <c r="N388"/>
    </row>
  </sheetData>
  <mergeCells count="6">
    <mergeCell ref="A5:M5"/>
    <mergeCell ref="J6:L6"/>
    <mergeCell ref="A8:M8"/>
    <mergeCell ref="A26:D26"/>
    <mergeCell ref="D30:E30"/>
    <mergeCell ref="A7:I7"/>
  </mergeCells>
  <pageMargins left="0.19685039370078741" right="0.15748031496062992" top="0.15748031496062992" bottom="0.15748031496062992" header="0.31496062992125984" footer="0.31496062992125984"/>
  <pageSetup paperSize="9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387"/>
  <sheetViews>
    <sheetView topLeftCell="A13" workbookViewId="0">
      <selection sqref="A1:IV36"/>
    </sheetView>
  </sheetViews>
  <sheetFormatPr defaultRowHeight="15" x14ac:dyDescent="0.25"/>
  <cols>
    <col min="1" max="1" width="4.140625" style="6" customWidth="1"/>
    <col min="2" max="2" width="6.140625" style="6" customWidth="1"/>
    <col min="3" max="3" width="0.28515625" style="6" hidden="1" customWidth="1"/>
    <col min="4" max="4" width="16.5703125" style="6" customWidth="1"/>
    <col min="5" max="5" width="17.7109375" style="6" customWidth="1"/>
    <col min="6" max="6" width="6.5703125" style="6" customWidth="1"/>
    <col min="7" max="7" width="6.85546875" style="6" customWidth="1"/>
    <col min="8" max="8" width="7.140625" style="56" customWidth="1"/>
    <col min="9" max="9" width="6.42578125" style="56" customWidth="1"/>
    <col min="10" max="10" width="7.28515625" style="56" customWidth="1"/>
    <col min="11" max="11" width="6.7109375" style="56" customWidth="1"/>
    <col min="12" max="12" width="7.7109375" style="56" customWidth="1"/>
    <col min="13" max="13" width="6.28515625" style="56" customWidth="1"/>
    <col min="14" max="14" width="6.5703125" style="18" customWidth="1"/>
    <col min="15" max="15" width="18" style="18" hidden="1" customWidth="1"/>
    <col min="16" max="16" width="17.28515625" style="18" hidden="1" customWidth="1"/>
    <col min="17" max="17" width="1.42578125" style="18" hidden="1" customWidth="1"/>
    <col min="18" max="18" width="10.140625" style="18" hidden="1" customWidth="1"/>
    <col min="19" max="19" width="6.85546875" customWidth="1"/>
    <col min="20" max="20" width="6" customWidth="1"/>
    <col min="21" max="21" width="5.5703125" customWidth="1"/>
    <col min="22" max="22" width="7.42578125" customWidth="1"/>
  </cols>
  <sheetData>
    <row r="1" spans="1:22" ht="15" customHeight="1" x14ac:dyDescent="0.25">
      <c r="R1" s="41"/>
    </row>
    <row r="2" spans="1:22" ht="15" customHeight="1" x14ac:dyDescent="0.25">
      <c r="M2" s="67"/>
      <c r="S2" s="96"/>
    </row>
    <row r="4" spans="1:22" ht="15" customHeight="1" x14ac:dyDescent="0.25">
      <c r="A4" s="68"/>
      <c r="B4" s="68"/>
      <c r="C4" s="68"/>
    </row>
    <row r="5" spans="1:22" ht="15" customHeight="1" x14ac:dyDescent="0.25">
      <c r="A5" s="68"/>
      <c r="B5" s="68"/>
      <c r="C5" s="68"/>
      <c r="S5" s="96"/>
    </row>
    <row r="6" spans="1:22" ht="29.25" customHeight="1" x14ac:dyDescent="0.3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49"/>
      <c r="P6" s="149"/>
      <c r="Q6" s="149"/>
      <c r="R6" s="149"/>
      <c r="S6" s="149"/>
      <c r="T6" s="149"/>
      <c r="U6" s="149"/>
      <c r="V6" s="149"/>
    </row>
    <row r="7" spans="1:22" s="26" customFormat="1" ht="20.25" customHeight="1" x14ac:dyDescent="0.25">
      <c r="A7" s="159"/>
      <c r="B7" s="159"/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  <c r="P7" s="159"/>
      <c r="Q7" s="159"/>
      <c r="R7" s="159"/>
    </row>
    <row r="8" spans="1:22" s="48" customFormat="1" ht="53.25" customHeight="1" x14ac:dyDescent="0.25">
      <c r="A8" s="69"/>
      <c r="B8" s="47"/>
      <c r="C8" s="47"/>
      <c r="D8" s="70"/>
      <c r="E8" s="70"/>
      <c r="F8" s="71"/>
      <c r="G8" s="71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3"/>
      <c r="T8" s="73"/>
      <c r="U8" s="73"/>
      <c r="V8" s="70"/>
    </row>
    <row r="9" spans="1:22" s="51" customFormat="1" ht="20.100000000000001" customHeight="1" x14ac:dyDescent="0.2">
      <c r="A9" s="49"/>
      <c r="B9" s="49"/>
      <c r="C9" s="49"/>
      <c r="D9" s="49"/>
      <c r="E9" s="49"/>
      <c r="F9" s="49"/>
      <c r="G9" s="49"/>
      <c r="H9" s="74"/>
      <c r="I9" s="74"/>
      <c r="J9" s="74"/>
      <c r="K9" s="74"/>
      <c r="L9" s="74"/>
      <c r="M9" s="74"/>
      <c r="N9" s="50"/>
      <c r="O9" s="50"/>
      <c r="P9" s="50"/>
      <c r="Q9" s="50"/>
      <c r="R9" s="50"/>
      <c r="S9" s="75"/>
      <c r="T9" s="75"/>
      <c r="U9" s="75"/>
      <c r="V9" s="75"/>
    </row>
    <row r="10" spans="1:22" s="51" customFormat="1" ht="20.100000000000001" customHeight="1" x14ac:dyDescent="0.2">
      <c r="A10" s="52"/>
      <c r="B10" s="52"/>
      <c r="C10" s="52"/>
      <c r="D10" s="52"/>
      <c r="E10" s="52"/>
      <c r="F10" s="49"/>
      <c r="G10" s="49"/>
      <c r="H10" s="74"/>
      <c r="I10" s="74"/>
      <c r="J10" s="74"/>
      <c r="K10" s="74"/>
      <c r="L10" s="74"/>
      <c r="M10" s="74"/>
      <c r="N10" s="50"/>
      <c r="O10" s="50"/>
      <c r="P10" s="50"/>
      <c r="Q10" s="50"/>
      <c r="R10" s="50"/>
      <c r="S10" s="76"/>
      <c r="T10" s="76"/>
      <c r="U10" s="76"/>
      <c r="V10" s="76"/>
    </row>
    <row r="11" spans="1:22" s="51" customFormat="1" ht="20.100000000000001" customHeight="1" x14ac:dyDescent="0.2">
      <c r="A11" s="52"/>
      <c r="B11" s="52"/>
      <c r="C11" s="52"/>
      <c r="D11" s="52"/>
      <c r="E11" s="52"/>
      <c r="F11" s="49"/>
      <c r="G11" s="49"/>
      <c r="H11" s="74"/>
      <c r="I11" s="74"/>
      <c r="J11" s="74"/>
      <c r="K11" s="74"/>
      <c r="L11" s="74"/>
      <c r="M11" s="74"/>
      <c r="N11" s="50"/>
      <c r="O11" s="50"/>
      <c r="P11" s="50"/>
      <c r="Q11" s="50"/>
      <c r="R11" s="50"/>
      <c r="S11" s="76"/>
      <c r="T11" s="76"/>
      <c r="U11" s="76"/>
      <c r="V11" s="76"/>
    </row>
    <row r="12" spans="1:22" s="51" customFormat="1" ht="20.100000000000001" customHeight="1" x14ac:dyDescent="0.2">
      <c r="A12" s="52"/>
      <c r="B12" s="52"/>
      <c r="C12" s="52"/>
      <c r="D12" s="52"/>
      <c r="E12" s="52"/>
      <c r="F12" s="49"/>
      <c r="G12" s="49"/>
      <c r="H12" s="74"/>
      <c r="I12" s="74"/>
      <c r="J12" s="74"/>
      <c r="K12" s="74"/>
      <c r="L12" s="74"/>
      <c r="M12" s="74"/>
      <c r="N12" s="50"/>
      <c r="O12" s="50"/>
      <c r="P12" s="50"/>
      <c r="Q12" s="50"/>
      <c r="R12" s="50"/>
      <c r="S12" s="76"/>
      <c r="T12" s="76"/>
      <c r="U12" s="76"/>
      <c r="V12" s="76"/>
    </row>
    <row r="13" spans="1:22" s="51" customFormat="1" ht="20.100000000000001" customHeight="1" x14ac:dyDescent="0.2">
      <c r="A13" s="52"/>
      <c r="B13" s="52"/>
      <c r="C13" s="52"/>
      <c r="D13" s="52"/>
      <c r="E13" s="52"/>
      <c r="F13" s="49"/>
      <c r="G13" s="49"/>
      <c r="H13" s="74"/>
      <c r="I13" s="74"/>
      <c r="J13" s="74"/>
      <c r="K13" s="74"/>
      <c r="L13" s="74"/>
      <c r="M13" s="74"/>
      <c r="N13" s="50"/>
      <c r="O13" s="50"/>
      <c r="P13" s="50"/>
      <c r="Q13" s="50"/>
      <c r="R13" s="50"/>
      <c r="S13" s="76"/>
      <c r="T13" s="76"/>
      <c r="U13" s="76"/>
      <c r="V13" s="76"/>
    </row>
    <row r="14" spans="1:22" s="51" customFormat="1" ht="20.100000000000001" customHeight="1" x14ac:dyDescent="0.2">
      <c r="A14" s="52"/>
      <c r="B14" s="52"/>
      <c r="C14" s="52"/>
      <c r="D14" s="52"/>
      <c r="E14" s="52"/>
      <c r="F14" s="49"/>
      <c r="G14" s="49"/>
      <c r="H14" s="74"/>
      <c r="I14" s="74"/>
      <c r="J14" s="74"/>
      <c r="K14" s="74"/>
      <c r="L14" s="74"/>
      <c r="M14" s="74"/>
      <c r="N14" s="50"/>
      <c r="O14" s="50"/>
      <c r="P14" s="50"/>
      <c r="Q14" s="50"/>
      <c r="R14" s="50"/>
      <c r="S14" s="76"/>
      <c r="T14" s="76"/>
      <c r="U14" s="76"/>
      <c r="V14" s="76"/>
    </row>
    <row r="15" spans="1:22" s="51" customFormat="1" ht="20.100000000000001" customHeight="1" x14ac:dyDescent="0.2">
      <c r="A15" s="52"/>
      <c r="B15" s="52"/>
      <c r="C15" s="52"/>
      <c r="D15" s="52"/>
      <c r="E15" s="52"/>
      <c r="F15" s="49"/>
      <c r="G15" s="49"/>
      <c r="H15" s="74"/>
      <c r="I15" s="74"/>
      <c r="J15" s="74"/>
      <c r="K15" s="74"/>
      <c r="L15" s="74"/>
      <c r="M15" s="74"/>
      <c r="N15" s="50"/>
      <c r="O15" s="50"/>
      <c r="P15" s="50"/>
      <c r="Q15" s="50"/>
      <c r="R15" s="50"/>
      <c r="S15" s="76"/>
      <c r="T15" s="76"/>
      <c r="U15" s="76"/>
      <c r="V15" s="76"/>
    </row>
    <row r="16" spans="1:22" s="51" customFormat="1" ht="20.100000000000001" customHeight="1" x14ac:dyDescent="0.2">
      <c r="A16" s="52"/>
      <c r="B16" s="52"/>
      <c r="C16" s="52"/>
      <c r="D16" s="52"/>
      <c r="E16" s="52"/>
      <c r="F16" s="52"/>
      <c r="G16" s="52"/>
      <c r="H16" s="77"/>
      <c r="I16" s="77"/>
      <c r="J16" s="77"/>
      <c r="K16" s="77"/>
      <c r="L16" s="77"/>
      <c r="M16" s="77"/>
      <c r="N16" s="50"/>
      <c r="O16" s="53"/>
      <c r="P16" s="53"/>
      <c r="Q16" s="53"/>
      <c r="R16" s="50"/>
      <c r="S16" s="76"/>
      <c r="T16" s="76"/>
      <c r="U16" s="76"/>
      <c r="V16" s="76"/>
    </row>
    <row r="17" spans="1:22" s="51" customFormat="1" ht="20.100000000000001" customHeight="1" x14ac:dyDescent="0.2">
      <c r="A17" s="52"/>
      <c r="B17" s="52"/>
      <c r="C17" s="52"/>
      <c r="D17" s="52"/>
      <c r="E17" s="52"/>
      <c r="F17" s="52"/>
      <c r="G17" s="52"/>
      <c r="H17" s="77"/>
      <c r="I17" s="77"/>
      <c r="J17" s="77"/>
      <c r="K17" s="77"/>
      <c r="L17" s="77"/>
      <c r="M17" s="77"/>
      <c r="N17" s="50"/>
      <c r="O17" s="53"/>
      <c r="P17" s="53"/>
      <c r="Q17" s="53"/>
      <c r="R17" s="50"/>
      <c r="S17" s="76"/>
      <c r="T17" s="76"/>
      <c r="U17" s="76"/>
      <c r="V17" s="76"/>
    </row>
    <row r="18" spans="1:22" s="51" customFormat="1" ht="20.100000000000001" customHeight="1" x14ac:dyDescent="0.2">
      <c r="A18" s="52"/>
      <c r="B18" s="52"/>
      <c r="C18" s="52"/>
      <c r="D18" s="52"/>
      <c r="E18" s="52"/>
      <c r="F18" s="52"/>
      <c r="G18" s="52"/>
      <c r="H18" s="77"/>
      <c r="I18" s="77"/>
      <c r="J18" s="77"/>
      <c r="K18" s="77"/>
      <c r="L18" s="77"/>
      <c r="M18" s="77"/>
      <c r="N18" s="50"/>
      <c r="O18" s="53"/>
      <c r="P18" s="53"/>
      <c r="Q18" s="53"/>
      <c r="R18" s="50"/>
      <c r="S18" s="76"/>
      <c r="T18" s="76"/>
      <c r="U18" s="76"/>
      <c r="V18" s="76"/>
    </row>
    <row r="19" spans="1:22" s="51" customFormat="1" ht="20.100000000000001" customHeight="1" x14ac:dyDescent="0.2">
      <c r="A19" s="52"/>
      <c r="B19" s="52"/>
      <c r="C19" s="52"/>
      <c r="D19" s="52"/>
      <c r="E19" s="52"/>
      <c r="F19" s="52"/>
      <c r="G19" s="52"/>
      <c r="H19" s="77"/>
      <c r="I19" s="77"/>
      <c r="J19" s="77"/>
      <c r="K19" s="77"/>
      <c r="L19" s="77"/>
      <c r="M19" s="77"/>
      <c r="N19" s="50"/>
      <c r="O19" s="53"/>
      <c r="P19" s="53"/>
      <c r="Q19" s="53"/>
      <c r="R19" s="50"/>
      <c r="S19" s="76"/>
      <c r="T19" s="76"/>
      <c r="U19" s="76"/>
      <c r="V19" s="76"/>
    </row>
    <row r="20" spans="1:22" s="51" customFormat="1" ht="20.100000000000001" customHeight="1" x14ac:dyDescent="0.2">
      <c r="A20" s="52"/>
      <c r="B20" s="52"/>
      <c r="C20" s="52"/>
      <c r="D20" s="52"/>
      <c r="E20" s="52"/>
      <c r="F20" s="52"/>
      <c r="G20" s="52"/>
      <c r="H20" s="77"/>
      <c r="I20" s="77"/>
      <c r="J20" s="77"/>
      <c r="K20" s="77"/>
      <c r="L20" s="77"/>
      <c r="M20" s="77"/>
      <c r="N20" s="50"/>
      <c r="O20" s="53"/>
      <c r="P20" s="53"/>
      <c r="Q20" s="53"/>
      <c r="R20" s="50"/>
      <c r="S20" s="76"/>
      <c r="T20" s="76"/>
      <c r="U20" s="76"/>
      <c r="V20" s="76"/>
    </row>
    <row r="21" spans="1:22" s="51" customFormat="1" ht="20.100000000000001" customHeight="1" x14ac:dyDescent="0.2">
      <c r="A21" s="78"/>
      <c r="B21" s="78"/>
      <c r="C21" s="78"/>
      <c r="D21" s="78"/>
      <c r="E21" s="78"/>
      <c r="F21" s="78"/>
      <c r="G21" s="78"/>
      <c r="H21" s="79"/>
      <c r="I21" s="79"/>
      <c r="J21" s="79"/>
      <c r="K21" s="79"/>
      <c r="L21" s="79"/>
      <c r="M21" s="79"/>
      <c r="N21" s="50"/>
      <c r="O21" s="80"/>
      <c r="P21" s="80"/>
      <c r="Q21" s="80"/>
      <c r="R21" s="80"/>
      <c r="S21" s="76"/>
      <c r="T21" s="76"/>
      <c r="U21" s="76"/>
      <c r="V21" s="127"/>
    </row>
    <row r="22" spans="1:22" s="55" customFormat="1" ht="20.100000000000001" customHeight="1" x14ac:dyDescent="0.2">
      <c r="A22" s="54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82"/>
    </row>
    <row r="23" spans="1:22" s="40" customFormat="1" ht="20.100000000000001" customHeight="1" x14ac:dyDescent="0.25">
      <c r="A23" s="38"/>
      <c r="B23" s="38"/>
      <c r="C23" s="38"/>
      <c r="D23" s="38"/>
      <c r="E23" s="38"/>
      <c r="F23" s="38"/>
      <c r="G23" s="38"/>
      <c r="H23" s="63"/>
      <c r="I23" s="63"/>
      <c r="J23" s="63"/>
      <c r="K23" s="63"/>
      <c r="L23" s="63"/>
      <c r="M23" s="63"/>
      <c r="N23" s="39"/>
      <c r="O23" s="39"/>
      <c r="P23" s="39"/>
      <c r="Q23" s="39"/>
      <c r="R23" s="39"/>
    </row>
    <row r="24" spans="1:22" ht="20.100000000000001" customHeight="1" x14ac:dyDescent="0.25"/>
    <row r="25" spans="1:22" ht="20.100000000000001" customHeight="1" x14ac:dyDescent="0.25">
      <c r="A25" s="29"/>
      <c r="B25" s="64"/>
      <c r="C25" s="64"/>
      <c r="D25" s="64"/>
      <c r="E25" s="64"/>
      <c r="F25" s="29"/>
      <c r="G25" s="29"/>
      <c r="H25" s="64"/>
      <c r="I25" s="64"/>
      <c r="J25" s="64"/>
      <c r="K25" s="64"/>
      <c r="L25" s="57"/>
      <c r="M25" s="64"/>
      <c r="O25" s="29"/>
      <c r="P25" s="29"/>
      <c r="Q25" s="29"/>
      <c r="S25" s="45"/>
    </row>
    <row r="26" spans="1:22" ht="20.100000000000001" customHeight="1" x14ac:dyDescent="0.25">
      <c r="D26" s="30"/>
      <c r="E26" s="30"/>
      <c r="F26" s="30"/>
      <c r="G26" s="30"/>
      <c r="H26" s="65"/>
      <c r="I26" s="65"/>
      <c r="J26" s="65"/>
      <c r="K26" s="65"/>
      <c r="L26" s="65"/>
      <c r="M26" s="65"/>
      <c r="N26" s="30"/>
      <c r="O26" s="30"/>
      <c r="P26" s="30"/>
      <c r="Q26" s="31"/>
      <c r="R26" s="43"/>
      <c r="S26" s="42"/>
    </row>
    <row r="27" spans="1:22" ht="20.100000000000001" customHeight="1" x14ac:dyDescent="0.25">
      <c r="D27" s="30"/>
      <c r="E27" s="30"/>
      <c r="F27" s="30"/>
      <c r="G27" s="30"/>
      <c r="H27" s="65"/>
      <c r="I27" s="65"/>
      <c r="J27" s="65"/>
      <c r="K27" s="65"/>
      <c r="L27" s="65"/>
      <c r="M27" s="65"/>
      <c r="N27" s="30"/>
      <c r="O27" s="30"/>
      <c r="P27" s="30"/>
      <c r="Q27" s="31"/>
      <c r="R27" s="43"/>
      <c r="S27" s="42"/>
    </row>
    <row r="28" spans="1:22" ht="20.100000000000001" customHeight="1" x14ac:dyDescent="0.25">
      <c r="D28" s="30"/>
      <c r="E28" s="30"/>
      <c r="F28" s="30"/>
      <c r="G28" s="30"/>
      <c r="H28" s="65"/>
      <c r="I28" s="65"/>
      <c r="J28" s="65"/>
      <c r="K28" s="65"/>
      <c r="L28" s="65"/>
      <c r="M28" s="65"/>
      <c r="N28" s="30"/>
      <c r="O28" s="30"/>
      <c r="P28" s="30"/>
      <c r="Q28" s="31"/>
      <c r="R28" s="43"/>
      <c r="S28" s="42"/>
    </row>
    <row r="29" spans="1:22" ht="20.100000000000001" customHeight="1" x14ac:dyDescent="0.25">
      <c r="D29" s="32"/>
      <c r="E29" s="32"/>
      <c r="F29" s="32"/>
      <c r="G29" s="32"/>
      <c r="H29" s="66"/>
      <c r="I29" s="66"/>
      <c r="J29" s="66"/>
      <c r="K29" s="66"/>
      <c r="L29" s="66"/>
      <c r="M29" s="66"/>
      <c r="N29" s="32"/>
      <c r="O29" s="32"/>
      <c r="P29" s="32"/>
      <c r="Q29" s="32"/>
      <c r="S29" s="46"/>
    </row>
    <row r="30" spans="1:22" ht="20.100000000000001" customHeight="1" x14ac:dyDescent="0.25"/>
    <row r="31" spans="1:22" ht="20.100000000000001" customHeight="1" x14ac:dyDescent="0.25"/>
    <row r="32" spans="1:22" ht="20.100000000000001" customHeight="1" x14ac:dyDescent="0.25"/>
    <row r="33" spans="8:19" s="6" customFormat="1" ht="20.100000000000001" customHeight="1" x14ac:dyDescent="0.25">
      <c r="H33" s="56"/>
      <c r="I33" s="56"/>
      <c r="J33" s="56"/>
      <c r="K33" s="56"/>
      <c r="L33" s="56"/>
      <c r="M33" s="56"/>
      <c r="N33" s="18"/>
      <c r="O33" s="18"/>
      <c r="P33" s="18"/>
      <c r="Q33" s="18"/>
      <c r="R33" s="18"/>
      <c r="S33"/>
    </row>
    <row r="34" spans="8:19" s="6" customFormat="1" ht="20.100000000000001" customHeight="1" x14ac:dyDescent="0.25">
      <c r="H34" s="56"/>
      <c r="I34" s="56"/>
      <c r="J34" s="56"/>
      <c r="K34" s="56"/>
      <c r="L34" s="56"/>
      <c r="M34" s="56"/>
      <c r="N34" s="18"/>
      <c r="O34" s="18"/>
      <c r="P34" s="18"/>
      <c r="Q34" s="18"/>
      <c r="R34" s="18"/>
      <c r="S34"/>
    </row>
    <row r="35" spans="8:19" s="6" customFormat="1" ht="20.100000000000001" customHeight="1" x14ac:dyDescent="0.25">
      <c r="H35" s="56"/>
      <c r="I35" s="56"/>
      <c r="J35" s="56"/>
      <c r="K35" s="56"/>
      <c r="L35" s="56"/>
      <c r="M35" s="56"/>
      <c r="N35" s="18"/>
      <c r="O35" s="18"/>
      <c r="P35" s="18"/>
      <c r="Q35" s="18"/>
      <c r="R35" s="18"/>
      <c r="S35"/>
    </row>
    <row r="36" spans="8:19" s="6" customFormat="1" ht="20.100000000000001" customHeight="1" x14ac:dyDescent="0.25">
      <c r="H36" s="56"/>
      <c r="I36" s="56"/>
      <c r="J36" s="56"/>
      <c r="K36" s="56"/>
      <c r="L36" s="56"/>
      <c r="M36" s="56"/>
      <c r="N36" s="18"/>
      <c r="O36" s="18"/>
      <c r="P36" s="18"/>
      <c r="Q36" s="18"/>
      <c r="R36" s="18"/>
      <c r="S36"/>
    </row>
    <row r="37" spans="8:19" s="6" customFormat="1" ht="20.100000000000001" customHeight="1" x14ac:dyDescent="0.25">
      <c r="H37" s="56"/>
      <c r="I37" s="56"/>
      <c r="J37" s="56"/>
      <c r="K37" s="56"/>
      <c r="L37" s="56"/>
      <c r="M37" s="56"/>
      <c r="N37" s="18"/>
      <c r="O37" s="18"/>
      <c r="P37" s="18"/>
      <c r="Q37" s="18"/>
      <c r="R37" s="18"/>
      <c r="S37"/>
    </row>
    <row r="38" spans="8:19" s="6" customFormat="1" ht="20.100000000000001" customHeight="1" x14ac:dyDescent="0.25">
      <c r="H38" s="56"/>
      <c r="I38" s="56"/>
      <c r="J38" s="56"/>
      <c r="K38" s="56"/>
      <c r="L38" s="56"/>
      <c r="M38" s="56"/>
      <c r="N38" s="18"/>
      <c r="O38" s="18"/>
      <c r="P38" s="18"/>
      <c r="Q38" s="18"/>
      <c r="R38" s="18"/>
      <c r="S38"/>
    </row>
    <row r="39" spans="8:19" s="6" customFormat="1" ht="20.100000000000001" customHeight="1" x14ac:dyDescent="0.25">
      <c r="H39" s="56"/>
      <c r="I39" s="56"/>
      <c r="J39" s="56"/>
      <c r="K39" s="56"/>
      <c r="L39" s="56"/>
      <c r="M39" s="56"/>
      <c r="N39" s="18"/>
      <c r="O39" s="18"/>
      <c r="P39" s="18"/>
      <c r="Q39" s="18"/>
      <c r="R39" s="18"/>
      <c r="S39"/>
    </row>
    <row r="40" spans="8:19" s="6" customFormat="1" ht="20.100000000000001" customHeight="1" x14ac:dyDescent="0.25">
      <c r="H40" s="56"/>
      <c r="I40" s="56"/>
      <c r="J40" s="56"/>
      <c r="K40" s="56"/>
      <c r="L40" s="56"/>
      <c r="M40" s="56"/>
      <c r="N40" s="18"/>
      <c r="O40" s="18"/>
      <c r="P40" s="18"/>
      <c r="Q40" s="18"/>
      <c r="R40" s="18"/>
      <c r="S40"/>
    </row>
    <row r="41" spans="8:19" s="6" customFormat="1" ht="20.100000000000001" customHeight="1" x14ac:dyDescent="0.25">
      <c r="H41" s="56"/>
      <c r="I41" s="56"/>
      <c r="J41" s="56"/>
      <c r="K41" s="56"/>
      <c r="L41" s="56"/>
      <c r="M41" s="56"/>
      <c r="N41" s="18"/>
      <c r="O41" s="18"/>
      <c r="P41" s="18"/>
      <c r="Q41" s="18"/>
      <c r="R41" s="18"/>
      <c r="S41"/>
    </row>
    <row r="42" spans="8:19" s="6" customFormat="1" ht="20.100000000000001" customHeight="1" x14ac:dyDescent="0.25">
      <c r="H42" s="56"/>
      <c r="I42" s="56"/>
      <c r="J42" s="56"/>
      <c r="K42" s="56"/>
      <c r="L42" s="56"/>
      <c r="M42" s="56"/>
      <c r="N42" s="18"/>
      <c r="O42" s="18"/>
      <c r="P42" s="18"/>
      <c r="Q42" s="18"/>
      <c r="R42" s="18"/>
      <c r="S42"/>
    </row>
    <row r="43" spans="8:19" s="6" customFormat="1" ht="20.100000000000001" customHeight="1" x14ac:dyDescent="0.25">
      <c r="H43" s="56"/>
      <c r="I43" s="56"/>
      <c r="J43" s="56"/>
      <c r="K43" s="56"/>
      <c r="L43" s="56"/>
      <c r="M43" s="56"/>
      <c r="N43" s="18"/>
      <c r="O43" s="18"/>
      <c r="P43" s="18"/>
      <c r="Q43" s="18"/>
      <c r="R43" s="18"/>
      <c r="S43"/>
    </row>
    <row r="44" spans="8:19" s="6" customFormat="1" ht="20.100000000000001" customHeight="1" x14ac:dyDescent="0.25">
      <c r="H44" s="56"/>
      <c r="I44" s="56"/>
      <c r="J44" s="56"/>
      <c r="K44" s="56"/>
      <c r="L44" s="56"/>
      <c r="M44" s="56"/>
      <c r="N44" s="18"/>
      <c r="O44" s="18"/>
      <c r="P44" s="18"/>
      <c r="Q44" s="18"/>
      <c r="R44" s="18"/>
      <c r="S44"/>
    </row>
    <row r="45" spans="8:19" s="6" customFormat="1" ht="20.100000000000001" customHeight="1" x14ac:dyDescent="0.25">
      <c r="H45" s="56"/>
      <c r="I45" s="56"/>
      <c r="J45" s="56"/>
      <c r="K45" s="56"/>
      <c r="L45" s="56"/>
      <c r="M45" s="56"/>
      <c r="N45" s="18"/>
      <c r="O45" s="18"/>
      <c r="P45" s="18"/>
      <c r="Q45" s="18"/>
      <c r="R45" s="18"/>
      <c r="S45"/>
    </row>
    <row r="46" spans="8:19" s="6" customFormat="1" ht="20.100000000000001" customHeight="1" x14ac:dyDescent="0.25">
      <c r="H46" s="56"/>
      <c r="I46" s="56"/>
      <c r="J46" s="56"/>
      <c r="K46" s="56"/>
      <c r="L46" s="56"/>
      <c r="M46" s="56"/>
      <c r="N46" s="18"/>
      <c r="O46" s="18"/>
      <c r="P46" s="18"/>
      <c r="Q46" s="18"/>
      <c r="R46" s="18"/>
      <c r="S46"/>
    </row>
    <row r="47" spans="8:19" s="6" customFormat="1" ht="20.100000000000001" customHeight="1" x14ac:dyDescent="0.25">
      <c r="H47" s="56"/>
      <c r="I47" s="56"/>
      <c r="J47" s="56"/>
      <c r="K47" s="56"/>
      <c r="L47" s="56"/>
      <c r="M47" s="56"/>
      <c r="N47" s="18"/>
      <c r="O47" s="18"/>
      <c r="P47" s="18"/>
      <c r="Q47" s="18"/>
      <c r="R47" s="18"/>
      <c r="S47"/>
    </row>
    <row r="48" spans="8:19" s="6" customFormat="1" ht="20.100000000000001" customHeight="1" x14ac:dyDescent="0.25">
      <c r="H48" s="56"/>
      <c r="I48" s="56"/>
      <c r="J48" s="56"/>
      <c r="K48" s="56"/>
      <c r="L48" s="56"/>
      <c r="M48" s="56"/>
      <c r="N48" s="18"/>
      <c r="O48" s="18"/>
      <c r="P48" s="18"/>
      <c r="Q48" s="18"/>
      <c r="R48" s="18"/>
      <c r="S48"/>
    </row>
    <row r="49" spans="8:19" s="6" customFormat="1" ht="20.100000000000001" customHeight="1" x14ac:dyDescent="0.25">
      <c r="H49" s="56"/>
      <c r="I49" s="56"/>
      <c r="J49" s="56"/>
      <c r="K49" s="56"/>
      <c r="L49" s="56"/>
      <c r="M49" s="56"/>
      <c r="N49" s="18"/>
      <c r="O49" s="18"/>
      <c r="P49" s="18"/>
      <c r="Q49" s="18"/>
      <c r="R49" s="18"/>
      <c r="S49"/>
    </row>
    <row r="50" spans="8:19" s="6" customFormat="1" ht="20.100000000000001" customHeight="1" x14ac:dyDescent="0.25">
      <c r="H50" s="56"/>
      <c r="I50" s="56"/>
      <c r="J50" s="56"/>
      <c r="K50" s="56"/>
      <c r="L50" s="56"/>
      <c r="M50" s="56"/>
      <c r="N50" s="18"/>
      <c r="O50" s="18"/>
      <c r="P50" s="18"/>
      <c r="Q50" s="18"/>
      <c r="R50" s="18"/>
      <c r="S50"/>
    </row>
    <row r="51" spans="8:19" s="6" customFormat="1" ht="20.100000000000001" customHeight="1" x14ac:dyDescent="0.25">
      <c r="H51" s="56"/>
      <c r="I51" s="56"/>
      <c r="J51" s="56"/>
      <c r="K51" s="56"/>
      <c r="L51" s="56"/>
      <c r="M51" s="56"/>
      <c r="N51" s="18"/>
      <c r="O51" s="18"/>
      <c r="P51" s="18"/>
      <c r="Q51" s="18"/>
      <c r="R51" s="18"/>
      <c r="S51"/>
    </row>
    <row r="52" spans="8:19" s="6" customFormat="1" ht="20.100000000000001" customHeight="1" x14ac:dyDescent="0.25">
      <c r="H52" s="56"/>
      <c r="I52" s="56"/>
      <c r="J52" s="56"/>
      <c r="K52" s="56"/>
      <c r="L52" s="56"/>
      <c r="M52" s="56"/>
      <c r="N52" s="18"/>
      <c r="O52" s="18"/>
      <c r="P52" s="18"/>
      <c r="Q52" s="18"/>
      <c r="R52" s="18"/>
      <c r="S52"/>
    </row>
    <row r="53" spans="8:19" s="6" customFormat="1" ht="20.100000000000001" customHeight="1" x14ac:dyDescent="0.25">
      <c r="H53" s="56"/>
      <c r="I53" s="56"/>
      <c r="J53" s="56"/>
      <c r="K53" s="56"/>
      <c r="L53" s="56"/>
      <c r="M53" s="56"/>
      <c r="N53" s="18"/>
      <c r="O53" s="18"/>
      <c r="P53" s="18"/>
      <c r="Q53" s="18"/>
      <c r="R53" s="18"/>
      <c r="S53"/>
    </row>
    <row r="54" spans="8:19" s="6" customFormat="1" ht="20.100000000000001" customHeight="1" x14ac:dyDescent="0.25">
      <c r="H54" s="56"/>
      <c r="I54" s="56"/>
      <c r="J54" s="56"/>
      <c r="K54" s="56"/>
      <c r="L54" s="56"/>
      <c r="M54" s="56"/>
      <c r="N54" s="18"/>
      <c r="O54" s="18"/>
      <c r="P54" s="18"/>
      <c r="Q54" s="18"/>
      <c r="R54" s="18"/>
      <c r="S54"/>
    </row>
    <row r="55" spans="8:19" s="6" customFormat="1" ht="20.100000000000001" customHeight="1" x14ac:dyDescent="0.25">
      <c r="H55" s="56"/>
      <c r="I55" s="56"/>
      <c r="J55" s="56"/>
      <c r="K55" s="56"/>
      <c r="L55" s="56"/>
      <c r="M55" s="56"/>
      <c r="N55" s="18"/>
      <c r="O55" s="18"/>
      <c r="P55" s="18"/>
      <c r="Q55" s="18"/>
      <c r="R55" s="18"/>
      <c r="S55"/>
    </row>
    <row r="56" spans="8:19" s="6" customFormat="1" ht="20.100000000000001" customHeight="1" x14ac:dyDescent="0.25">
      <c r="H56" s="56"/>
      <c r="I56" s="56"/>
      <c r="J56" s="56"/>
      <c r="K56" s="56"/>
      <c r="L56" s="56"/>
      <c r="M56" s="56"/>
      <c r="N56" s="18"/>
      <c r="O56" s="18"/>
      <c r="P56" s="18"/>
      <c r="Q56" s="18"/>
      <c r="R56" s="18"/>
      <c r="S56"/>
    </row>
    <row r="57" spans="8:19" s="6" customFormat="1" ht="20.100000000000001" customHeight="1" x14ac:dyDescent="0.25">
      <c r="H57" s="56"/>
      <c r="I57" s="56"/>
      <c r="J57" s="56"/>
      <c r="K57" s="56"/>
      <c r="L57" s="56"/>
      <c r="M57" s="56"/>
      <c r="N57" s="18"/>
      <c r="O57" s="18"/>
      <c r="P57" s="18"/>
      <c r="Q57" s="18"/>
      <c r="R57" s="18"/>
      <c r="S57"/>
    </row>
    <row r="58" spans="8:19" s="6" customFormat="1" ht="20.100000000000001" customHeight="1" x14ac:dyDescent="0.25">
      <c r="H58" s="56"/>
      <c r="I58" s="56"/>
      <c r="J58" s="56"/>
      <c r="K58" s="56"/>
      <c r="L58" s="56"/>
      <c r="M58" s="56"/>
      <c r="N58" s="18"/>
      <c r="O58" s="18"/>
      <c r="P58" s="18"/>
      <c r="Q58" s="18"/>
      <c r="R58" s="18"/>
      <c r="S58"/>
    </row>
    <row r="59" spans="8:19" s="6" customFormat="1" ht="20.100000000000001" customHeight="1" x14ac:dyDescent="0.25">
      <c r="H59" s="56"/>
      <c r="I59" s="56"/>
      <c r="J59" s="56"/>
      <c r="K59" s="56"/>
      <c r="L59" s="56"/>
      <c r="M59" s="56"/>
      <c r="N59" s="18"/>
      <c r="O59" s="18"/>
      <c r="P59" s="18"/>
      <c r="Q59" s="18"/>
      <c r="R59" s="18"/>
      <c r="S59"/>
    </row>
    <row r="60" spans="8:19" s="6" customFormat="1" ht="20.100000000000001" customHeight="1" x14ac:dyDescent="0.25">
      <c r="H60" s="56"/>
      <c r="I60" s="56"/>
      <c r="J60" s="56"/>
      <c r="K60" s="56"/>
      <c r="L60" s="56"/>
      <c r="M60" s="56"/>
      <c r="N60" s="18"/>
      <c r="O60" s="18"/>
      <c r="P60" s="18"/>
      <c r="Q60" s="18"/>
      <c r="R60" s="18"/>
      <c r="S60"/>
    </row>
    <row r="61" spans="8:19" s="6" customFormat="1" ht="20.100000000000001" customHeight="1" x14ac:dyDescent="0.25">
      <c r="H61" s="56"/>
      <c r="I61" s="56"/>
      <c r="J61" s="56"/>
      <c r="K61" s="56"/>
      <c r="L61" s="56"/>
      <c r="M61" s="56"/>
      <c r="N61" s="18"/>
      <c r="O61" s="18"/>
      <c r="P61" s="18"/>
      <c r="Q61" s="18"/>
      <c r="R61" s="18"/>
      <c r="S61"/>
    </row>
    <row r="62" spans="8:19" s="6" customFormat="1" ht="20.100000000000001" customHeight="1" x14ac:dyDescent="0.25">
      <c r="H62" s="56"/>
      <c r="I62" s="56"/>
      <c r="J62" s="56"/>
      <c r="K62" s="56"/>
      <c r="L62" s="56"/>
      <c r="M62" s="56"/>
      <c r="N62" s="18"/>
      <c r="O62" s="18"/>
      <c r="P62" s="18"/>
      <c r="Q62" s="18"/>
      <c r="R62" s="18"/>
      <c r="S62"/>
    </row>
    <row r="63" spans="8:19" s="6" customFormat="1" ht="20.100000000000001" customHeight="1" x14ac:dyDescent="0.25">
      <c r="H63" s="56"/>
      <c r="I63" s="56"/>
      <c r="J63" s="56"/>
      <c r="K63" s="56"/>
      <c r="L63" s="56"/>
      <c r="M63" s="56"/>
      <c r="N63" s="18"/>
      <c r="O63" s="18"/>
      <c r="P63" s="18"/>
      <c r="Q63" s="18"/>
      <c r="R63" s="18"/>
      <c r="S63"/>
    </row>
    <row r="64" spans="8:19" s="6" customFormat="1" ht="20.100000000000001" customHeight="1" x14ac:dyDescent="0.25">
      <c r="H64" s="56"/>
      <c r="I64" s="56"/>
      <c r="J64" s="56"/>
      <c r="K64" s="56"/>
      <c r="L64" s="56"/>
      <c r="M64" s="56"/>
      <c r="N64" s="18"/>
      <c r="O64" s="18"/>
      <c r="P64" s="18"/>
      <c r="Q64" s="18"/>
      <c r="R64" s="18"/>
      <c r="S64"/>
    </row>
    <row r="65" spans="8:19" s="6" customFormat="1" ht="20.100000000000001" customHeight="1" x14ac:dyDescent="0.25">
      <c r="H65" s="56"/>
      <c r="I65" s="56"/>
      <c r="J65" s="56"/>
      <c r="K65" s="56"/>
      <c r="L65" s="56"/>
      <c r="M65" s="56"/>
      <c r="N65" s="18"/>
      <c r="O65" s="18"/>
      <c r="P65" s="18"/>
      <c r="Q65" s="18"/>
      <c r="R65" s="18"/>
      <c r="S65"/>
    </row>
    <row r="66" spans="8:19" s="6" customFormat="1" ht="20.100000000000001" customHeight="1" x14ac:dyDescent="0.25">
      <c r="H66" s="56"/>
      <c r="I66" s="56"/>
      <c r="J66" s="56"/>
      <c r="K66" s="56"/>
      <c r="L66" s="56"/>
      <c r="M66" s="56"/>
      <c r="N66" s="18"/>
      <c r="O66" s="18"/>
      <c r="P66" s="18"/>
      <c r="Q66" s="18"/>
      <c r="R66" s="18"/>
      <c r="S66"/>
    </row>
    <row r="67" spans="8:19" s="6" customFormat="1" ht="20.100000000000001" customHeight="1" x14ac:dyDescent="0.25">
      <c r="H67" s="56"/>
      <c r="I67" s="56"/>
      <c r="J67" s="56"/>
      <c r="K67" s="56"/>
      <c r="L67" s="56"/>
      <c r="M67" s="56"/>
      <c r="N67" s="18"/>
      <c r="O67" s="18"/>
      <c r="P67" s="18"/>
      <c r="Q67" s="18"/>
      <c r="R67" s="18"/>
      <c r="S67"/>
    </row>
    <row r="68" spans="8:19" s="6" customFormat="1" ht="20.100000000000001" customHeight="1" x14ac:dyDescent="0.25">
      <c r="H68" s="56"/>
      <c r="I68" s="56"/>
      <c r="J68" s="56"/>
      <c r="K68" s="56"/>
      <c r="L68" s="56"/>
      <c r="M68" s="56"/>
      <c r="N68" s="18"/>
      <c r="O68" s="18"/>
      <c r="P68" s="18"/>
      <c r="Q68" s="18"/>
      <c r="R68" s="18"/>
      <c r="S68"/>
    </row>
    <row r="69" spans="8:19" s="6" customFormat="1" ht="20.100000000000001" customHeight="1" x14ac:dyDescent="0.25">
      <c r="H69" s="56"/>
      <c r="I69" s="56"/>
      <c r="J69" s="56"/>
      <c r="K69" s="56"/>
      <c r="L69" s="56"/>
      <c r="M69" s="56"/>
      <c r="N69" s="18"/>
      <c r="O69" s="18"/>
      <c r="P69" s="18"/>
      <c r="Q69" s="18"/>
      <c r="R69" s="18"/>
      <c r="S69"/>
    </row>
    <row r="70" spans="8:19" s="6" customFormat="1" ht="20.100000000000001" customHeight="1" x14ac:dyDescent="0.25">
      <c r="H70" s="56"/>
      <c r="I70" s="56"/>
      <c r="J70" s="56"/>
      <c r="K70" s="56"/>
      <c r="L70" s="56"/>
      <c r="M70" s="56"/>
      <c r="N70" s="18"/>
      <c r="O70" s="18"/>
      <c r="P70" s="18"/>
      <c r="Q70" s="18"/>
      <c r="R70" s="18"/>
      <c r="S70"/>
    </row>
    <row r="71" spans="8:19" s="6" customFormat="1" ht="20.100000000000001" customHeight="1" x14ac:dyDescent="0.25">
      <c r="H71" s="56"/>
      <c r="I71" s="56"/>
      <c r="J71" s="56"/>
      <c r="K71" s="56"/>
      <c r="L71" s="56"/>
      <c r="M71" s="56"/>
      <c r="N71" s="18"/>
      <c r="O71" s="18"/>
      <c r="P71" s="18"/>
      <c r="Q71" s="18"/>
      <c r="R71" s="18"/>
      <c r="S71"/>
    </row>
    <row r="72" spans="8:19" s="6" customFormat="1" ht="20.100000000000001" customHeight="1" x14ac:dyDescent="0.25">
      <c r="H72" s="56"/>
      <c r="I72" s="56"/>
      <c r="J72" s="56"/>
      <c r="K72" s="56"/>
      <c r="L72" s="56"/>
      <c r="M72" s="56"/>
      <c r="N72" s="18"/>
      <c r="O72" s="18"/>
      <c r="P72" s="18"/>
      <c r="Q72" s="18"/>
      <c r="R72" s="18"/>
      <c r="S72"/>
    </row>
    <row r="73" spans="8:19" s="6" customFormat="1" ht="20.100000000000001" customHeight="1" x14ac:dyDescent="0.25">
      <c r="H73" s="56"/>
      <c r="I73" s="56"/>
      <c r="J73" s="56"/>
      <c r="K73" s="56"/>
      <c r="L73" s="56"/>
      <c r="M73" s="56"/>
      <c r="N73" s="18"/>
      <c r="O73" s="18"/>
      <c r="P73" s="18"/>
      <c r="Q73" s="18"/>
      <c r="R73" s="18"/>
      <c r="S73"/>
    </row>
    <row r="74" spans="8:19" s="6" customFormat="1" ht="20.100000000000001" customHeight="1" x14ac:dyDescent="0.25">
      <c r="H74" s="56"/>
      <c r="I74" s="56"/>
      <c r="J74" s="56"/>
      <c r="K74" s="56"/>
      <c r="L74" s="56"/>
      <c r="M74" s="56"/>
      <c r="N74" s="18"/>
      <c r="O74" s="18"/>
      <c r="P74" s="18"/>
      <c r="Q74" s="18"/>
      <c r="R74" s="18"/>
      <c r="S74"/>
    </row>
    <row r="75" spans="8:19" s="6" customFormat="1" ht="20.100000000000001" customHeight="1" x14ac:dyDescent="0.25">
      <c r="H75" s="56"/>
      <c r="I75" s="56"/>
      <c r="J75" s="56"/>
      <c r="K75" s="56"/>
      <c r="L75" s="56"/>
      <c r="M75" s="56"/>
      <c r="N75" s="18"/>
      <c r="O75" s="18"/>
      <c r="P75" s="18"/>
      <c r="Q75" s="18"/>
      <c r="R75" s="18"/>
      <c r="S75"/>
    </row>
    <row r="76" spans="8:19" s="6" customFormat="1" ht="20.100000000000001" customHeight="1" x14ac:dyDescent="0.25">
      <c r="H76" s="56"/>
      <c r="I76" s="56"/>
      <c r="J76" s="56"/>
      <c r="K76" s="56"/>
      <c r="L76" s="56"/>
      <c r="M76" s="56"/>
      <c r="N76" s="18"/>
      <c r="O76" s="18"/>
      <c r="P76" s="18"/>
      <c r="Q76" s="18"/>
      <c r="R76" s="18"/>
      <c r="S76"/>
    </row>
    <row r="77" spans="8:19" s="6" customFormat="1" ht="20.100000000000001" customHeight="1" x14ac:dyDescent="0.25">
      <c r="H77" s="56"/>
      <c r="I77" s="56"/>
      <c r="J77" s="56"/>
      <c r="K77" s="56"/>
      <c r="L77" s="56"/>
      <c r="M77" s="56"/>
      <c r="N77" s="18"/>
      <c r="O77" s="18"/>
      <c r="P77" s="18"/>
      <c r="Q77" s="18"/>
      <c r="R77" s="18"/>
      <c r="S77"/>
    </row>
    <row r="78" spans="8:19" s="6" customFormat="1" ht="20.100000000000001" customHeight="1" x14ac:dyDescent="0.25">
      <c r="H78" s="56"/>
      <c r="I78" s="56"/>
      <c r="J78" s="56"/>
      <c r="K78" s="56"/>
      <c r="L78" s="56"/>
      <c r="M78" s="56"/>
      <c r="N78" s="18"/>
      <c r="O78" s="18"/>
      <c r="P78" s="18"/>
      <c r="Q78" s="18"/>
      <c r="R78" s="18"/>
      <c r="S78"/>
    </row>
    <row r="79" spans="8:19" s="6" customFormat="1" ht="20.100000000000001" customHeight="1" x14ac:dyDescent="0.25">
      <c r="H79" s="56"/>
      <c r="I79" s="56"/>
      <c r="J79" s="56"/>
      <c r="K79" s="56"/>
      <c r="L79" s="56"/>
      <c r="M79" s="56"/>
      <c r="N79" s="18"/>
      <c r="O79" s="18"/>
      <c r="P79" s="18"/>
      <c r="Q79" s="18"/>
      <c r="R79" s="18"/>
      <c r="S79"/>
    </row>
    <row r="80" spans="8:19" s="6" customFormat="1" ht="20.100000000000001" customHeight="1" x14ac:dyDescent="0.25">
      <c r="H80" s="56"/>
      <c r="I80" s="56"/>
      <c r="J80" s="56"/>
      <c r="K80" s="56"/>
      <c r="L80" s="56"/>
      <c r="M80" s="56"/>
      <c r="N80" s="18"/>
      <c r="O80" s="18"/>
      <c r="P80" s="18"/>
      <c r="Q80" s="18"/>
      <c r="R80" s="18"/>
      <c r="S80"/>
    </row>
    <row r="81" spans="8:19" s="6" customFormat="1" ht="20.100000000000001" customHeight="1" x14ac:dyDescent="0.25">
      <c r="H81" s="56"/>
      <c r="I81" s="56"/>
      <c r="J81" s="56"/>
      <c r="K81" s="56"/>
      <c r="L81" s="56"/>
      <c r="M81" s="56"/>
      <c r="N81" s="18"/>
      <c r="O81" s="18"/>
      <c r="P81" s="18"/>
      <c r="Q81" s="18"/>
      <c r="R81" s="18"/>
      <c r="S81"/>
    </row>
    <row r="82" spans="8:19" s="6" customFormat="1" ht="20.100000000000001" customHeight="1" x14ac:dyDescent="0.25">
      <c r="H82" s="56"/>
      <c r="I82" s="56"/>
      <c r="J82" s="56"/>
      <c r="K82" s="56"/>
      <c r="L82" s="56"/>
      <c r="M82" s="56"/>
      <c r="N82" s="18"/>
      <c r="O82" s="18"/>
      <c r="P82" s="18"/>
      <c r="Q82" s="18"/>
      <c r="R82" s="18"/>
      <c r="S82"/>
    </row>
    <row r="83" spans="8:19" s="6" customFormat="1" ht="20.100000000000001" customHeight="1" x14ac:dyDescent="0.25">
      <c r="H83" s="56"/>
      <c r="I83" s="56"/>
      <c r="J83" s="56"/>
      <c r="K83" s="56"/>
      <c r="L83" s="56"/>
      <c r="M83" s="56"/>
      <c r="N83" s="18"/>
      <c r="O83" s="18"/>
      <c r="P83" s="18"/>
      <c r="Q83" s="18"/>
      <c r="R83" s="18"/>
      <c r="S83"/>
    </row>
    <row r="84" spans="8:19" s="6" customFormat="1" ht="20.100000000000001" customHeight="1" x14ac:dyDescent="0.25">
      <c r="H84" s="56"/>
      <c r="I84" s="56"/>
      <c r="J84" s="56"/>
      <c r="K84" s="56"/>
      <c r="L84" s="56"/>
      <c r="M84" s="56"/>
      <c r="N84" s="18"/>
      <c r="O84" s="18"/>
      <c r="P84" s="18"/>
      <c r="Q84" s="18"/>
      <c r="R84" s="18"/>
      <c r="S84"/>
    </row>
    <row r="85" spans="8:19" s="6" customFormat="1" ht="20.100000000000001" customHeight="1" x14ac:dyDescent="0.25">
      <c r="H85" s="56"/>
      <c r="I85" s="56"/>
      <c r="J85" s="56"/>
      <c r="K85" s="56"/>
      <c r="L85" s="56"/>
      <c r="M85" s="56"/>
      <c r="N85" s="18"/>
      <c r="O85" s="18"/>
      <c r="P85" s="18"/>
      <c r="Q85" s="18"/>
      <c r="R85" s="18"/>
      <c r="S85"/>
    </row>
    <row r="86" spans="8:19" s="6" customFormat="1" ht="20.100000000000001" customHeight="1" x14ac:dyDescent="0.25">
      <c r="H86" s="56"/>
      <c r="I86" s="56"/>
      <c r="J86" s="56"/>
      <c r="K86" s="56"/>
      <c r="L86" s="56"/>
      <c r="M86" s="56"/>
      <c r="N86" s="18"/>
      <c r="O86" s="18"/>
      <c r="P86" s="18"/>
      <c r="Q86" s="18"/>
      <c r="R86" s="18"/>
      <c r="S86"/>
    </row>
    <row r="87" spans="8:19" s="6" customFormat="1" ht="20.100000000000001" customHeight="1" x14ac:dyDescent="0.25">
      <c r="H87" s="56"/>
      <c r="I87" s="56"/>
      <c r="J87" s="56"/>
      <c r="K87" s="56"/>
      <c r="L87" s="56"/>
      <c r="M87" s="56"/>
      <c r="N87" s="18"/>
      <c r="O87" s="18"/>
      <c r="P87" s="18"/>
      <c r="Q87" s="18"/>
      <c r="R87" s="18"/>
      <c r="S87"/>
    </row>
    <row r="88" spans="8:19" s="6" customFormat="1" ht="20.100000000000001" customHeight="1" x14ac:dyDescent="0.25">
      <c r="H88" s="56"/>
      <c r="I88" s="56"/>
      <c r="J88" s="56"/>
      <c r="K88" s="56"/>
      <c r="L88" s="56"/>
      <c r="M88" s="56"/>
      <c r="N88" s="18"/>
      <c r="O88" s="18"/>
      <c r="P88" s="18"/>
      <c r="Q88" s="18"/>
      <c r="R88" s="18"/>
      <c r="S88"/>
    </row>
    <row r="89" spans="8:19" s="6" customFormat="1" ht="20.100000000000001" customHeight="1" x14ac:dyDescent="0.25">
      <c r="H89" s="56"/>
      <c r="I89" s="56"/>
      <c r="J89" s="56"/>
      <c r="K89" s="56"/>
      <c r="L89" s="56"/>
      <c r="M89" s="56"/>
      <c r="N89" s="18"/>
      <c r="O89" s="18"/>
      <c r="P89" s="18"/>
      <c r="Q89" s="18"/>
      <c r="R89" s="18"/>
      <c r="S89"/>
    </row>
    <row r="90" spans="8:19" s="6" customFormat="1" ht="20.100000000000001" customHeight="1" x14ac:dyDescent="0.25">
      <c r="H90" s="56"/>
      <c r="I90" s="56"/>
      <c r="J90" s="56"/>
      <c r="K90" s="56"/>
      <c r="L90" s="56"/>
      <c r="M90" s="56"/>
      <c r="N90" s="18"/>
      <c r="O90" s="18"/>
      <c r="P90" s="18"/>
      <c r="Q90" s="18"/>
      <c r="R90" s="18"/>
      <c r="S90"/>
    </row>
    <row r="91" spans="8:19" s="6" customFormat="1" ht="20.100000000000001" customHeight="1" x14ac:dyDescent="0.25">
      <c r="H91" s="56"/>
      <c r="I91" s="56"/>
      <c r="J91" s="56"/>
      <c r="K91" s="56"/>
      <c r="L91" s="56"/>
      <c r="M91" s="56"/>
      <c r="N91" s="18"/>
      <c r="O91" s="18"/>
      <c r="P91" s="18"/>
      <c r="Q91" s="18"/>
      <c r="R91" s="18"/>
      <c r="S91"/>
    </row>
    <row r="92" spans="8:19" s="6" customFormat="1" ht="20.100000000000001" customHeight="1" x14ac:dyDescent="0.25">
      <c r="H92" s="56"/>
      <c r="I92" s="56"/>
      <c r="J92" s="56"/>
      <c r="K92" s="56"/>
      <c r="L92" s="56"/>
      <c r="M92" s="56"/>
      <c r="N92" s="18"/>
      <c r="O92" s="18"/>
      <c r="P92" s="18"/>
      <c r="Q92" s="18"/>
      <c r="R92" s="18"/>
      <c r="S92"/>
    </row>
    <row r="93" spans="8:19" s="6" customFormat="1" ht="20.100000000000001" customHeight="1" x14ac:dyDescent="0.25">
      <c r="H93" s="56"/>
      <c r="I93" s="56"/>
      <c r="J93" s="56"/>
      <c r="K93" s="56"/>
      <c r="L93" s="56"/>
      <c r="M93" s="56"/>
      <c r="N93" s="18"/>
      <c r="O93" s="18"/>
      <c r="P93" s="18"/>
      <c r="Q93" s="18"/>
      <c r="R93" s="18"/>
      <c r="S93"/>
    </row>
    <row r="94" spans="8:19" s="6" customFormat="1" ht="20.100000000000001" customHeight="1" x14ac:dyDescent="0.25">
      <c r="H94" s="56"/>
      <c r="I94" s="56"/>
      <c r="J94" s="56"/>
      <c r="K94" s="56"/>
      <c r="L94" s="56"/>
      <c r="M94" s="56"/>
      <c r="N94" s="18"/>
      <c r="O94" s="18"/>
      <c r="P94" s="18"/>
      <c r="Q94" s="18"/>
      <c r="R94" s="18"/>
      <c r="S94"/>
    </row>
    <row r="95" spans="8:19" s="6" customFormat="1" ht="20.100000000000001" customHeight="1" x14ac:dyDescent="0.25">
      <c r="H95" s="56"/>
      <c r="I95" s="56"/>
      <c r="J95" s="56"/>
      <c r="K95" s="56"/>
      <c r="L95" s="56"/>
      <c r="M95" s="56"/>
      <c r="N95" s="18"/>
      <c r="O95" s="18"/>
      <c r="P95" s="18"/>
      <c r="Q95" s="18"/>
      <c r="R95" s="18"/>
      <c r="S95"/>
    </row>
    <row r="96" spans="8:19" s="6" customFormat="1" ht="20.100000000000001" customHeight="1" x14ac:dyDescent="0.25">
      <c r="H96" s="56"/>
      <c r="I96" s="56"/>
      <c r="J96" s="56"/>
      <c r="K96" s="56"/>
      <c r="L96" s="56"/>
      <c r="M96" s="56"/>
      <c r="N96" s="18"/>
      <c r="O96" s="18"/>
      <c r="P96" s="18"/>
      <c r="Q96" s="18"/>
      <c r="R96" s="18"/>
      <c r="S96"/>
    </row>
    <row r="97" spans="8:19" s="6" customFormat="1" ht="20.100000000000001" customHeight="1" x14ac:dyDescent="0.25">
      <c r="H97" s="56"/>
      <c r="I97" s="56"/>
      <c r="J97" s="56"/>
      <c r="K97" s="56"/>
      <c r="L97" s="56"/>
      <c r="M97" s="56"/>
      <c r="N97" s="18"/>
      <c r="O97" s="18"/>
      <c r="P97" s="18"/>
      <c r="Q97" s="18"/>
      <c r="R97" s="18"/>
      <c r="S97"/>
    </row>
    <row r="98" spans="8:19" s="6" customFormat="1" ht="20.100000000000001" customHeight="1" x14ac:dyDescent="0.25">
      <c r="H98" s="56"/>
      <c r="I98" s="56"/>
      <c r="J98" s="56"/>
      <c r="K98" s="56"/>
      <c r="L98" s="56"/>
      <c r="M98" s="56"/>
      <c r="N98" s="18"/>
      <c r="O98" s="18"/>
      <c r="P98" s="18"/>
      <c r="Q98" s="18"/>
      <c r="R98" s="18"/>
      <c r="S98"/>
    </row>
    <row r="99" spans="8:19" s="6" customFormat="1" ht="20.100000000000001" customHeight="1" x14ac:dyDescent="0.25">
      <c r="H99" s="56"/>
      <c r="I99" s="56"/>
      <c r="J99" s="56"/>
      <c r="K99" s="56"/>
      <c r="L99" s="56"/>
      <c r="M99" s="56"/>
      <c r="N99" s="18"/>
      <c r="O99" s="18"/>
      <c r="P99" s="18"/>
      <c r="Q99" s="18"/>
      <c r="R99" s="18"/>
      <c r="S99"/>
    </row>
    <row r="100" spans="8:19" s="6" customFormat="1" ht="20.100000000000001" customHeight="1" x14ac:dyDescent="0.25">
      <c r="H100" s="56"/>
      <c r="I100" s="56"/>
      <c r="J100" s="56"/>
      <c r="K100" s="56"/>
      <c r="L100" s="56"/>
      <c r="M100" s="56"/>
      <c r="N100" s="18"/>
      <c r="O100" s="18"/>
      <c r="P100" s="18"/>
      <c r="Q100" s="18"/>
      <c r="R100" s="18"/>
      <c r="S100"/>
    </row>
    <row r="101" spans="8:19" s="6" customFormat="1" ht="20.100000000000001" customHeight="1" x14ac:dyDescent="0.25">
      <c r="H101" s="56"/>
      <c r="I101" s="56"/>
      <c r="J101" s="56"/>
      <c r="K101" s="56"/>
      <c r="L101" s="56"/>
      <c r="M101" s="56"/>
      <c r="N101" s="18"/>
      <c r="O101" s="18"/>
      <c r="P101" s="18"/>
      <c r="Q101" s="18"/>
      <c r="R101" s="18"/>
      <c r="S101"/>
    </row>
    <row r="102" spans="8:19" s="6" customFormat="1" ht="20.100000000000001" customHeight="1" x14ac:dyDescent="0.25">
      <c r="H102" s="56"/>
      <c r="I102" s="56"/>
      <c r="J102" s="56"/>
      <c r="K102" s="56"/>
      <c r="L102" s="56"/>
      <c r="M102" s="56"/>
      <c r="N102" s="18"/>
      <c r="O102" s="18"/>
      <c r="P102" s="18"/>
      <c r="Q102" s="18"/>
      <c r="R102" s="18"/>
      <c r="S102"/>
    </row>
    <row r="103" spans="8:19" s="6" customFormat="1" ht="20.100000000000001" customHeight="1" x14ac:dyDescent="0.25">
      <c r="H103" s="56"/>
      <c r="I103" s="56"/>
      <c r="J103" s="56"/>
      <c r="K103" s="56"/>
      <c r="L103" s="56"/>
      <c r="M103" s="56"/>
      <c r="N103" s="18"/>
      <c r="O103" s="18"/>
      <c r="P103" s="18"/>
      <c r="Q103" s="18"/>
      <c r="R103" s="18"/>
      <c r="S103"/>
    </row>
    <row r="104" spans="8:19" s="6" customFormat="1" ht="20.100000000000001" customHeight="1" x14ac:dyDescent="0.25">
      <c r="H104" s="56"/>
      <c r="I104" s="56"/>
      <c r="J104" s="56"/>
      <c r="K104" s="56"/>
      <c r="L104" s="56"/>
      <c r="M104" s="56"/>
      <c r="N104" s="18"/>
      <c r="O104" s="18"/>
      <c r="P104" s="18"/>
      <c r="Q104" s="18"/>
      <c r="R104" s="18"/>
      <c r="S104"/>
    </row>
    <row r="105" spans="8:19" s="6" customFormat="1" ht="20.100000000000001" customHeight="1" x14ac:dyDescent="0.25">
      <c r="H105" s="56"/>
      <c r="I105" s="56"/>
      <c r="J105" s="56"/>
      <c r="K105" s="56"/>
      <c r="L105" s="56"/>
      <c r="M105" s="56"/>
      <c r="N105" s="18"/>
      <c r="O105" s="18"/>
      <c r="P105" s="18"/>
      <c r="Q105" s="18"/>
      <c r="R105" s="18"/>
      <c r="S105"/>
    </row>
    <row r="106" spans="8:19" s="6" customFormat="1" ht="20.100000000000001" customHeight="1" x14ac:dyDescent="0.25">
      <c r="H106" s="56"/>
      <c r="I106" s="56"/>
      <c r="J106" s="56"/>
      <c r="K106" s="56"/>
      <c r="L106" s="56"/>
      <c r="M106" s="56"/>
      <c r="N106" s="18"/>
      <c r="O106" s="18"/>
      <c r="P106" s="18"/>
      <c r="Q106" s="18"/>
      <c r="R106" s="18"/>
      <c r="S106"/>
    </row>
    <row r="107" spans="8:19" s="6" customFormat="1" ht="20.100000000000001" customHeight="1" x14ac:dyDescent="0.25">
      <c r="H107" s="56"/>
      <c r="I107" s="56"/>
      <c r="J107" s="56"/>
      <c r="K107" s="56"/>
      <c r="L107" s="56"/>
      <c r="M107" s="56"/>
      <c r="N107" s="18"/>
      <c r="O107" s="18"/>
      <c r="P107" s="18"/>
      <c r="Q107" s="18"/>
      <c r="R107" s="18"/>
      <c r="S107"/>
    </row>
    <row r="108" spans="8:19" s="6" customFormat="1" ht="20.100000000000001" customHeight="1" x14ac:dyDescent="0.25">
      <c r="H108" s="56"/>
      <c r="I108" s="56"/>
      <c r="J108" s="56"/>
      <c r="K108" s="56"/>
      <c r="L108" s="56"/>
      <c r="M108" s="56"/>
      <c r="N108" s="18"/>
      <c r="O108" s="18"/>
      <c r="P108" s="18"/>
      <c r="Q108" s="18"/>
      <c r="R108" s="18"/>
      <c r="S108"/>
    </row>
    <row r="109" spans="8:19" s="6" customFormat="1" ht="20.100000000000001" customHeight="1" x14ac:dyDescent="0.25">
      <c r="H109" s="56"/>
      <c r="I109" s="56"/>
      <c r="J109" s="56"/>
      <c r="K109" s="56"/>
      <c r="L109" s="56"/>
      <c r="M109" s="56"/>
      <c r="N109" s="18"/>
      <c r="O109" s="18"/>
      <c r="P109" s="18"/>
      <c r="Q109" s="18"/>
      <c r="R109" s="18"/>
      <c r="S109"/>
    </row>
    <row r="110" spans="8:19" s="6" customFormat="1" ht="20.100000000000001" customHeight="1" x14ac:dyDescent="0.25">
      <c r="H110" s="56"/>
      <c r="I110" s="56"/>
      <c r="J110" s="56"/>
      <c r="K110" s="56"/>
      <c r="L110" s="56"/>
      <c r="M110" s="56"/>
      <c r="N110" s="18"/>
      <c r="O110" s="18"/>
      <c r="P110" s="18"/>
      <c r="Q110" s="18"/>
      <c r="R110" s="18"/>
      <c r="S110"/>
    </row>
    <row r="111" spans="8:19" s="6" customFormat="1" ht="20.100000000000001" customHeight="1" x14ac:dyDescent="0.25">
      <c r="H111" s="56"/>
      <c r="I111" s="56"/>
      <c r="J111" s="56"/>
      <c r="K111" s="56"/>
      <c r="L111" s="56"/>
      <c r="M111" s="56"/>
      <c r="N111" s="18"/>
      <c r="O111" s="18"/>
      <c r="P111" s="18"/>
      <c r="Q111" s="18"/>
      <c r="R111" s="18"/>
      <c r="S111"/>
    </row>
    <row r="112" spans="8:19" s="6" customFormat="1" ht="20.100000000000001" customHeight="1" x14ac:dyDescent="0.25">
      <c r="H112" s="56"/>
      <c r="I112" s="56"/>
      <c r="J112" s="56"/>
      <c r="K112" s="56"/>
      <c r="L112" s="56"/>
      <c r="M112" s="56"/>
      <c r="N112" s="18"/>
      <c r="O112" s="18"/>
      <c r="P112" s="18"/>
      <c r="Q112" s="18"/>
      <c r="R112" s="18"/>
      <c r="S112"/>
    </row>
    <row r="113" spans="8:19" s="6" customFormat="1" ht="20.100000000000001" customHeight="1" x14ac:dyDescent="0.25">
      <c r="H113" s="56"/>
      <c r="I113" s="56"/>
      <c r="J113" s="56"/>
      <c r="K113" s="56"/>
      <c r="L113" s="56"/>
      <c r="M113" s="56"/>
      <c r="N113" s="18"/>
      <c r="O113" s="18"/>
      <c r="P113" s="18"/>
      <c r="Q113" s="18"/>
      <c r="R113" s="18"/>
      <c r="S113"/>
    </row>
    <row r="114" spans="8:19" s="6" customFormat="1" ht="20.100000000000001" customHeight="1" x14ac:dyDescent="0.25">
      <c r="H114" s="56"/>
      <c r="I114" s="56"/>
      <c r="J114" s="56"/>
      <c r="K114" s="56"/>
      <c r="L114" s="56"/>
      <c r="M114" s="56"/>
      <c r="N114" s="18"/>
      <c r="O114" s="18"/>
      <c r="P114" s="18"/>
      <c r="Q114" s="18"/>
      <c r="R114" s="18"/>
      <c r="S114"/>
    </row>
    <row r="115" spans="8:19" s="6" customFormat="1" ht="20.100000000000001" customHeight="1" x14ac:dyDescent="0.25">
      <c r="H115" s="56"/>
      <c r="I115" s="56"/>
      <c r="J115" s="56"/>
      <c r="K115" s="56"/>
      <c r="L115" s="56"/>
      <c r="M115" s="56"/>
      <c r="N115" s="18"/>
      <c r="O115" s="18"/>
      <c r="P115" s="18"/>
      <c r="Q115" s="18"/>
      <c r="R115" s="18"/>
      <c r="S115"/>
    </row>
    <row r="116" spans="8:19" s="6" customFormat="1" ht="20.100000000000001" customHeight="1" x14ac:dyDescent="0.25">
      <c r="H116" s="56"/>
      <c r="I116" s="56"/>
      <c r="J116" s="56"/>
      <c r="K116" s="56"/>
      <c r="L116" s="56"/>
      <c r="M116" s="56"/>
      <c r="N116" s="18"/>
      <c r="O116" s="18"/>
      <c r="P116" s="18"/>
      <c r="Q116" s="18"/>
      <c r="R116" s="18"/>
      <c r="S116"/>
    </row>
    <row r="117" spans="8:19" s="6" customFormat="1" ht="20.100000000000001" customHeight="1" x14ac:dyDescent="0.25">
      <c r="H117" s="56"/>
      <c r="I117" s="56"/>
      <c r="J117" s="56"/>
      <c r="K117" s="56"/>
      <c r="L117" s="56"/>
      <c r="M117" s="56"/>
      <c r="N117" s="18"/>
      <c r="O117" s="18"/>
      <c r="P117" s="18"/>
      <c r="Q117" s="18"/>
      <c r="R117" s="18"/>
      <c r="S117"/>
    </row>
    <row r="118" spans="8:19" s="6" customFormat="1" ht="20.100000000000001" customHeight="1" x14ac:dyDescent="0.25">
      <c r="H118" s="56"/>
      <c r="I118" s="56"/>
      <c r="J118" s="56"/>
      <c r="K118" s="56"/>
      <c r="L118" s="56"/>
      <c r="M118" s="56"/>
      <c r="N118" s="18"/>
      <c r="O118" s="18"/>
      <c r="P118" s="18"/>
      <c r="Q118" s="18"/>
      <c r="R118" s="18"/>
      <c r="S118"/>
    </row>
    <row r="119" spans="8:19" s="6" customFormat="1" ht="20.100000000000001" customHeight="1" x14ac:dyDescent="0.25">
      <c r="H119" s="56"/>
      <c r="I119" s="56"/>
      <c r="J119" s="56"/>
      <c r="K119" s="56"/>
      <c r="L119" s="56"/>
      <c r="M119" s="56"/>
      <c r="N119" s="18"/>
      <c r="O119" s="18"/>
      <c r="P119" s="18"/>
      <c r="Q119" s="18"/>
      <c r="R119" s="18"/>
      <c r="S119"/>
    </row>
    <row r="120" spans="8:19" s="6" customFormat="1" ht="20.100000000000001" customHeight="1" x14ac:dyDescent="0.25">
      <c r="H120" s="56"/>
      <c r="I120" s="56"/>
      <c r="J120" s="56"/>
      <c r="K120" s="56"/>
      <c r="L120" s="56"/>
      <c r="M120" s="56"/>
      <c r="N120" s="18"/>
      <c r="O120" s="18"/>
      <c r="P120" s="18"/>
      <c r="Q120" s="18"/>
      <c r="R120" s="18"/>
      <c r="S120"/>
    </row>
    <row r="121" spans="8:19" s="6" customFormat="1" ht="20.100000000000001" customHeight="1" x14ac:dyDescent="0.25">
      <c r="H121" s="56"/>
      <c r="I121" s="56"/>
      <c r="J121" s="56"/>
      <c r="K121" s="56"/>
      <c r="L121" s="56"/>
      <c r="M121" s="56"/>
      <c r="N121" s="18"/>
      <c r="O121" s="18"/>
      <c r="P121" s="18"/>
      <c r="Q121" s="18"/>
      <c r="R121" s="18"/>
      <c r="S121"/>
    </row>
    <row r="122" spans="8:19" s="6" customFormat="1" ht="20.100000000000001" customHeight="1" x14ac:dyDescent="0.25">
      <c r="H122" s="56"/>
      <c r="I122" s="56"/>
      <c r="J122" s="56"/>
      <c r="K122" s="56"/>
      <c r="L122" s="56"/>
      <c r="M122" s="56"/>
      <c r="N122" s="18"/>
      <c r="O122" s="18"/>
      <c r="P122" s="18"/>
      <c r="Q122" s="18"/>
      <c r="R122" s="18"/>
      <c r="S122"/>
    </row>
    <row r="123" spans="8:19" s="6" customFormat="1" ht="20.100000000000001" customHeight="1" x14ac:dyDescent="0.25">
      <c r="H123" s="56"/>
      <c r="I123" s="56"/>
      <c r="J123" s="56"/>
      <c r="K123" s="56"/>
      <c r="L123" s="56"/>
      <c r="M123" s="56"/>
      <c r="N123" s="18"/>
      <c r="O123" s="18"/>
      <c r="P123" s="18"/>
      <c r="Q123" s="18"/>
      <c r="R123" s="18"/>
      <c r="S123"/>
    </row>
    <row r="124" spans="8:19" s="6" customFormat="1" ht="20.100000000000001" customHeight="1" x14ac:dyDescent="0.25">
      <c r="H124" s="56"/>
      <c r="I124" s="56"/>
      <c r="J124" s="56"/>
      <c r="K124" s="56"/>
      <c r="L124" s="56"/>
      <c r="M124" s="56"/>
      <c r="N124" s="18"/>
      <c r="O124" s="18"/>
      <c r="P124" s="18"/>
      <c r="Q124" s="18"/>
      <c r="R124" s="18"/>
      <c r="S124"/>
    </row>
    <row r="125" spans="8:19" s="6" customFormat="1" ht="20.100000000000001" customHeight="1" x14ac:dyDescent="0.25">
      <c r="H125" s="56"/>
      <c r="I125" s="56"/>
      <c r="J125" s="56"/>
      <c r="K125" s="56"/>
      <c r="L125" s="56"/>
      <c r="M125" s="56"/>
      <c r="N125" s="18"/>
      <c r="O125" s="18"/>
      <c r="P125" s="18"/>
      <c r="Q125" s="18"/>
      <c r="R125" s="18"/>
      <c r="S125"/>
    </row>
    <row r="126" spans="8:19" s="6" customFormat="1" ht="20.100000000000001" customHeight="1" x14ac:dyDescent="0.25">
      <c r="H126" s="56"/>
      <c r="I126" s="56"/>
      <c r="J126" s="56"/>
      <c r="K126" s="56"/>
      <c r="L126" s="56"/>
      <c r="M126" s="56"/>
      <c r="N126" s="18"/>
      <c r="O126" s="18"/>
      <c r="P126" s="18"/>
      <c r="Q126" s="18"/>
      <c r="R126" s="18"/>
      <c r="S126"/>
    </row>
    <row r="127" spans="8:19" s="6" customFormat="1" ht="20.100000000000001" customHeight="1" x14ac:dyDescent="0.25">
      <c r="H127" s="56"/>
      <c r="I127" s="56"/>
      <c r="J127" s="56"/>
      <c r="K127" s="56"/>
      <c r="L127" s="56"/>
      <c r="M127" s="56"/>
      <c r="N127" s="18"/>
      <c r="O127" s="18"/>
      <c r="P127" s="18"/>
      <c r="Q127" s="18"/>
      <c r="R127" s="18"/>
      <c r="S127"/>
    </row>
    <row r="128" spans="8:19" s="6" customFormat="1" ht="20.100000000000001" customHeight="1" x14ac:dyDescent="0.25">
      <c r="H128" s="56"/>
      <c r="I128" s="56"/>
      <c r="J128" s="56"/>
      <c r="K128" s="56"/>
      <c r="L128" s="56"/>
      <c r="M128" s="56"/>
      <c r="N128" s="18"/>
      <c r="O128" s="18"/>
      <c r="P128" s="18"/>
      <c r="Q128" s="18"/>
      <c r="R128" s="18"/>
      <c r="S128"/>
    </row>
    <row r="129" spans="8:19" s="6" customFormat="1" ht="20.100000000000001" customHeight="1" x14ac:dyDescent="0.25">
      <c r="H129" s="56"/>
      <c r="I129" s="56"/>
      <c r="J129" s="56"/>
      <c r="K129" s="56"/>
      <c r="L129" s="56"/>
      <c r="M129" s="56"/>
      <c r="N129" s="18"/>
      <c r="O129" s="18"/>
      <c r="P129" s="18"/>
      <c r="Q129" s="18"/>
      <c r="R129" s="18"/>
      <c r="S129"/>
    </row>
    <row r="130" spans="8:19" s="6" customFormat="1" ht="20.100000000000001" customHeight="1" x14ac:dyDescent="0.25">
      <c r="H130" s="56"/>
      <c r="I130" s="56"/>
      <c r="J130" s="56"/>
      <c r="K130" s="56"/>
      <c r="L130" s="56"/>
      <c r="M130" s="56"/>
      <c r="N130" s="18"/>
      <c r="O130" s="18"/>
      <c r="P130" s="18"/>
      <c r="Q130" s="18"/>
      <c r="R130" s="18"/>
      <c r="S130"/>
    </row>
    <row r="131" spans="8:19" s="6" customFormat="1" ht="20.100000000000001" customHeight="1" x14ac:dyDescent="0.25">
      <c r="H131" s="56"/>
      <c r="I131" s="56"/>
      <c r="J131" s="56"/>
      <c r="K131" s="56"/>
      <c r="L131" s="56"/>
      <c r="M131" s="56"/>
      <c r="N131" s="18"/>
      <c r="O131" s="18"/>
      <c r="P131" s="18"/>
      <c r="Q131" s="18"/>
      <c r="R131" s="18"/>
      <c r="S131"/>
    </row>
    <row r="132" spans="8:19" s="6" customFormat="1" ht="20.100000000000001" customHeight="1" x14ac:dyDescent="0.25">
      <c r="H132" s="56"/>
      <c r="I132" s="56"/>
      <c r="J132" s="56"/>
      <c r="K132" s="56"/>
      <c r="L132" s="56"/>
      <c r="M132" s="56"/>
      <c r="N132" s="18"/>
      <c r="O132" s="18"/>
      <c r="P132" s="18"/>
      <c r="Q132" s="18"/>
      <c r="R132" s="18"/>
      <c r="S132"/>
    </row>
    <row r="133" spans="8:19" s="6" customFormat="1" ht="20.100000000000001" customHeight="1" x14ac:dyDescent="0.25">
      <c r="H133" s="56"/>
      <c r="I133" s="56"/>
      <c r="J133" s="56"/>
      <c r="K133" s="56"/>
      <c r="L133" s="56"/>
      <c r="M133" s="56"/>
      <c r="N133" s="18"/>
      <c r="O133" s="18"/>
      <c r="P133" s="18"/>
      <c r="Q133" s="18"/>
      <c r="R133" s="18"/>
      <c r="S133"/>
    </row>
    <row r="134" spans="8:19" s="6" customFormat="1" ht="20.100000000000001" customHeight="1" x14ac:dyDescent="0.25">
      <c r="H134" s="56"/>
      <c r="I134" s="56"/>
      <c r="J134" s="56"/>
      <c r="K134" s="56"/>
      <c r="L134" s="56"/>
      <c r="M134" s="56"/>
      <c r="N134" s="18"/>
      <c r="O134" s="18"/>
      <c r="P134" s="18"/>
      <c r="Q134" s="18"/>
      <c r="R134" s="18"/>
      <c r="S134"/>
    </row>
    <row r="135" spans="8:19" s="6" customFormat="1" ht="20.100000000000001" customHeight="1" x14ac:dyDescent="0.25">
      <c r="H135" s="56"/>
      <c r="I135" s="56"/>
      <c r="J135" s="56"/>
      <c r="K135" s="56"/>
      <c r="L135" s="56"/>
      <c r="M135" s="56"/>
      <c r="N135" s="18"/>
      <c r="O135" s="18"/>
      <c r="P135" s="18"/>
      <c r="Q135" s="18"/>
      <c r="R135" s="18"/>
      <c r="S135"/>
    </row>
    <row r="136" spans="8:19" s="6" customFormat="1" ht="20.100000000000001" customHeight="1" x14ac:dyDescent="0.25">
      <c r="H136" s="56"/>
      <c r="I136" s="56"/>
      <c r="J136" s="56"/>
      <c r="K136" s="56"/>
      <c r="L136" s="56"/>
      <c r="M136" s="56"/>
      <c r="N136" s="18"/>
      <c r="O136" s="18"/>
      <c r="P136" s="18"/>
      <c r="Q136" s="18"/>
      <c r="R136" s="18"/>
      <c r="S136"/>
    </row>
    <row r="137" spans="8:19" s="6" customFormat="1" ht="20.100000000000001" customHeight="1" x14ac:dyDescent="0.25">
      <c r="H137" s="56"/>
      <c r="I137" s="56"/>
      <c r="J137" s="56"/>
      <c r="K137" s="56"/>
      <c r="L137" s="56"/>
      <c r="M137" s="56"/>
      <c r="N137" s="18"/>
      <c r="O137" s="18"/>
      <c r="P137" s="18"/>
      <c r="Q137" s="18"/>
      <c r="R137" s="18"/>
      <c r="S137"/>
    </row>
    <row r="138" spans="8:19" s="6" customFormat="1" ht="20.100000000000001" customHeight="1" x14ac:dyDescent="0.25">
      <c r="H138" s="56"/>
      <c r="I138" s="56"/>
      <c r="J138" s="56"/>
      <c r="K138" s="56"/>
      <c r="L138" s="56"/>
      <c r="M138" s="56"/>
      <c r="N138" s="18"/>
      <c r="O138" s="18"/>
      <c r="P138" s="18"/>
      <c r="Q138" s="18"/>
      <c r="R138" s="18"/>
      <c r="S138"/>
    </row>
    <row r="139" spans="8:19" s="6" customFormat="1" ht="20.100000000000001" customHeight="1" x14ac:dyDescent="0.25">
      <c r="H139" s="56"/>
      <c r="I139" s="56"/>
      <c r="J139" s="56"/>
      <c r="K139" s="56"/>
      <c r="L139" s="56"/>
      <c r="M139" s="56"/>
      <c r="N139" s="18"/>
      <c r="O139" s="18"/>
      <c r="P139" s="18"/>
      <c r="Q139" s="18"/>
      <c r="R139" s="18"/>
      <c r="S139"/>
    </row>
    <row r="140" spans="8:19" s="6" customFormat="1" ht="20.100000000000001" customHeight="1" x14ac:dyDescent="0.25">
      <c r="H140" s="56"/>
      <c r="I140" s="56"/>
      <c r="J140" s="56"/>
      <c r="K140" s="56"/>
      <c r="L140" s="56"/>
      <c r="M140" s="56"/>
      <c r="N140" s="18"/>
      <c r="O140" s="18"/>
      <c r="P140" s="18"/>
      <c r="Q140" s="18"/>
      <c r="R140" s="18"/>
      <c r="S140"/>
    </row>
    <row r="141" spans="8:19" s="6" customFormat="1" ht="20.100000000000001" customHeight="1" x14ac:dyDescent="0.25">
      <c r="H141" s="56"/>
      <c r="I141" s="56"/>
      <c r="J141" s="56"/>
      <c r="K141" s="56"/>
      <c r="L141" s="56"/>
      <c r="M141" s="56"/>
      <c r="N141" s="18"/>
      <c r="O141" s="18"/>
      <c r="P141" s="18"/>
      <c r="Q141" s="18"/>
      <c r="R141" s="18"/>
      <c r="S141"/>
    </row>
    <row r="142" spans="8:19" s="6" customFormat="1" ht="20.100000000000001" customHeight="1" x14ac:dyDescent="0.25">
      <c r="H142" s="56"/>
      <c r="I142" s="56"/>
      <c r="J142" s="56"/>
      <c r="K142" s="56"/>
      <c r="L142" s="56"/>
      <c r="M142" s="56"/>
      <c r="N142" s="18"/>
      <c r="O142" s="18"/>
      <c r="P142" s="18"/>
      <c r="Q142" s="18"/>
      <c r="R142" s="18"/>
      <c r="S142"/>
    </row>
    <row r="143" spans="8:19" s="6" customFormat="1" ht="20.100000000000001" customHeight="1" x14ac:dyDescent="0.25">
      <c r="H143" s="56"/>
      <c r="I143" s="56"/>
      <c r="J143" s="56"/>
      <c r="K143" s="56"/>
      <c r="L143" s="56"/>
      <c r="M143" s="56"/>
      <c r="N143" s="18"/>
      <c r="O143" s="18"/>
      <c r="P143" s="18"/>
      <c r="Q143" s="18"/>
      <c r="R143" s="18"/>
      <c r="S143"/>
    </row>
    <row r="144" spans="8:19" s="6" customFormat="1" ht="20.100000000000001" customHeight="1" x14ac:dyDescent="0.25">
      <c r="H144" s="56"/>
      <c r="I144" s="56"/>
      <c r="J144" s="56"/>
      <c r="K144" s="56"/>
      <c r="L144" s="56"/>
      <c r="M144" s="56"/>
      <c r="N144" s="18"/>
      <c r="O144" s="18"/>
      <c r="P144" s="18"/>
      <c r="Q144" s="18"/>
      <c r="R144" s="18"/>
      <c r="S144"/>
    </row>
    <row r="145" spans="8:19" s="6" customFormat="1" ht="20.100000000000001" customHeight="1" x14ac:dyDescent="0.25">
      <c r="H145" s="56"/>
      <c r="I145" s="56"/>
      <c r="J145" s="56"/>
      <c r="K145" s="56"/>
      <c r="L145" s="56"/>
      <c r="M145" s="56"/>
      <c r="N145" s="18"/>
      <c r="O145" s="18"/>
      <c r="P145" s="18"/>
      <c r="Q145" s="18"/>
      <c r="R145" s="18"/>
      <c r="S145"/>
    </row>
    <row r="146" spans="8:19" s="6" customFormat="1" ht="20.100000000000001" customHeight="1" x14ac:dyDescent="0.25">
      <c r="H146" s="56"/>
      <c r="I146" s="56"/>
      <c r="J146" s="56"/>
      <c r="K146" s="56"/>
      <c r="L146" s="56"/>
      <c r="M146" s="56"/>
      <c r="N146" s="18"/>
      <c r="O146" s="18"/>
      <c r="P146" s="18"/>
      <c r="Q146" s="18"/>
      <c r="R146" s="18"/>
      <c r="S146"/>
    </row>
    <row r="147" spans="8:19" s="6" customFormat="1" ht="20.100000000000001" customHeight="1" x14ac:dyDescent="0.25">
      <c r="H147" s="56"/>
      <c r="I147" s="56"/>
      <c r="J147" s="56"/>
      <c r="K147" s="56"/>
      <c r="L147" s="56"/>
      <c r="M147" s="56"/>
      <c r="N147" s="18"/>
      <c r="O147" s="18"/>
      <c r="P147" s="18"/>
      <c r="Q147" s="18"/>
      <c r="R147" s="18"/>
      <c r="S147"/>
    </row>
    <row r="148" spans="8:19" s="6" customFormat="1" ht="20.100000000000001" customHeight="1" x14ac:dyDescent="0.25">
      <c r="H148" s="56"/>
      <c r="I148" s="56"/>
      <c r="J148" s="56"/>
      <c r="K148" s="56"/>
      <c r="L148" s="56"/>
      <c r="M148" s="56"/>
      <c r="N148" s="18"/>
      <c r="O148" s="18"/>
      <c r="P148" s="18"/>
      <c r="Q148" s="18"/>
      <c r="R148" s="18"/>
      <c r="S148"/>
    </row>
    <row r="149" spans="8:19" s="6" customFormat="1" ht="20.100000000000001" customHeight="1" x14ac:dyDescent="0.25">
      <c r="H149" s="56"/>
      <c r="I149" s="56"/>
      <c r="J149" s="56"/>
      <c r="K149" s="56"/>
      <c r="L149" s="56"/>
      <c r="M149" s="56"/>
      <c r="N149" s="18"/>
      <c r="O149" s="18"/>
      <c r="P149" s="18"/>
      <c r="Q149" s="18"/>
      <c r="R149" s="18"/>
      <c r="S149"/>
    </row>
    <row r="150" spans="8:19" s="6" customFormat="1" ht="20.100000000000001" customHeight="1" x14ac:dyDescent="0.25">
      <c r="H150" s="56"/>
      <c r="I150" s="56"/>
      <c r="J150" s="56"/>
      <c r="K150" s="56"/>
      <c r="L150" s="56"/>
      <c r="M150" s="56"/>
      <c r="N150" s="18"/>
      <c r="O150" s="18"/>
      <c r="P150" s="18"/>
      <c r="Q150" s="18"/>
      <c r="R150" s="18"/>
      <c r="S150"/>
    </row>
    <row r="151" spans="8:19" s="6" customFormat="1" ht="20.100000000000001" customHeight="1" x14ac:dyDescent="0.25">
      <c r="H151" s="56"/>
      <c r="I151" s="56"/>
      <c r="J151" s="56"/>
      <c r="K151" s="56"/>
      <c r="L151" s="56"/>
      <c r="M151" s="56"/>
      <c r="N151" s="18"/>
      <c r="O151" s="18"/>
      <c r="P151" s="18"/>
      <c r="Q151" s="18"/>
      <c r="R151" s="18"/>
      <c r="S151"/>
    </row>
    <row r="152" spans="8:19" s="6" customFormat="1" ht="20.100000000000001" customHeight="1" x14ac:dyDescent="0.25">
      <c r="H152" s="56"/>
      <c r="I152" s="56"/>
      <c r="J152" s="56"/>
      <c r="K152" s="56"/>
      <c r="L152" s="56"/>
      <c r="M152" s="56"/>
      <c r="N152" s="18"/>
      <c r="O152" s="18"/>
      <c r="P152" s="18"/>
      <c r="Q152" s="18"/>
      <c r="R152" s="18"/>
      <c r="S152"/>
    </row>
    <row r="153" spans="8:19" s="6" customFormat="1" ht="20.100000000000001" customHeight="1" x14ac:dyDescent="0.25">
      <c r="H153" s="56"/>
      <c r="I153" s="56"/>
      <c r="J153" s="56"/>
      <c r="K153" s="56"/>
      <c r="L153" s="56"/>
      <c r="M153" s="56"/>
      <c r="N153" s="18"/>
      <c r="O153" s="18"/>
      <c r="P153" s="18"/>
      <c r="Q153" s="18"/>
      <c r="R153" s="18"/>
      <c r="S153"/>
    </row>
    <row r="154" spans="8:19" s="6" customFormat="1" ht="20.100000000000001" customHeight="1" x14ac:dyDescent="0.25">
      <c r="H154" s="56"/>
      <c r="I154" s="56"/>
      <c r="J154" s="56"/>
      <c r="K154" s="56"/>
      <c r="L154" s="56"/>
      <c r="M154" s="56"/>
      <c r="N154" s="18"/>
      <c r="O154" s="18"/>
      <c r="P154" s="18"/>
      <c r="Q154" s="18"/>
      <c r="R154" s="18"/>
      <c r="S154"/>
    </row>
    <row r="155" spans="8:19" s="6" customFormat="1" ht="20.100000000000001" customHeight="1" x14ac:dyDescent="0.25">
      <c r="H155" s="56"/>
      <c r="I155" s="56"/>
      <c r="J155" s="56"/>
      <c r="K155" s="56"/>
      <c r="L155" s="56"/>
      <c r="M155" s="56"/>
      <c r="N155" s="18"/>
      <c r="O155" s="18"/>
      <c r="P155" s="18"/>
      <c r="Q155" s="18"/>
      <c r="R155" s="18"/>
      <c r="S155"/>
    </row>
    <row r="156" spans="8:19" s="6" customFormat="1" ht="20.100000000000001" customHeight="1" x14ac:dyDescent="0.25">
      <c r="H156" s="56"/>
      <c r="I156" s="56"/>
      <c r="J156" s="56"/>
      <c r="K156" s="56"/>
      <c r="L156" s="56"/>
      <c r="M156" s="56"/>
      <c r="N156" s="18"/>
      <c r="O156" s="18"/>
      <c r="P156" s="18"/>
      <c r="Q156" s="18"/>
      <c r="R156" s="18"/>
      <c r="S156"/>
    </row>
    <row r="157" spans="8:19" s="6" customFormat="1" ht="20.100000000000001" customHeight="1" x14ac:dyDescent="0.25">
      <c r="H157" s="56"/>
      <c r="I157" s="56"/>
      <c r="J157" s="56"/>
      <c r="K157" s="56"/>
      <c r="L157" s="56"/>
      <c r="M157" s="56"/>
      <c r="N157" s="18"/>
      <c r="O157" s="18"/>
      <c r="P157" s="18"/>
      <c r="Q157" s="18"/>
      <c r="R157" s="18"/>
      <c r="S157"/>
    </row>
    <row r="158" spans="8:19" s="6" customFormat="1" ht="20.100000000000001" customHeight="1" x14ac:dyDescent="0.25">
      <c r="H158" s="56"/>
      <c r="I158" s="56"/>
      <c r="J158" s="56"/>
      <c r="K158" s="56"/>
      <c r="L158" s="56"/>
      <c r="M158" s="56"/>
      <c r="N158" s="18"/>
      <c r="O158" s="18"/>
      <c r="P158" s="18"/>
      <c r="Q158" s="18"/>
      <c r="R158" s="18"/>
      <c r="S158"/>
    </row>
    <row r="159" spans="8:19" s="6" customFormat="1" ht="20.100000000000001" customHeight="1" x14ac:dyDescent="0.25">
      <c r="H159" s="56"/>
      <c r="I159" s="56"/>
      <c r="J159" s="56"/>
      <c r="K159" s="56"/>
      <c r="L159" s="56"/>
      <c r="M159" s="56"/>
      <c r="N159" s="18"/>
      <c r="O159" s="18"/>
      <c r="P159" s="18"/>
      <c r="Q159" s="18"/>
      <c r="R159" s="18"/>
      <c r="S159"/>
    </row>
    <row r="160" spans="8:19" s="6" customFormat="1" ht="20.100000000000001" customHeight="1" x14ac:dyDescent="0.25">
      <c r="H160" s="56"/>
      <c r="I160" s="56"/>
      <c r="J160" s="56"/>
      <c r="K160" s="56"/>
      <c r="L160" s="56"/>
      <c r="M160" s="56"/>
      <c r="N160" s="18"/>
      <c r="O160" s="18"/>
      <c r="P160" s="18"/>
      <c r="Q160" s="18"/>
      <c r="R160" s="18"/>
      <c r="S160"/>
    </row>
    <row r="161" spans="8:19" s="6" customFormat="1" ht="20.100000000000001" customHeight="1" x14ac:dyDescent="0.25">
      <c r="H161" s="56"/>
      <c r="I161" s="56"/>
      <c r="J161" s="56"/>
      <c r="K161" s="56"/>
      <c r="L161" s="56"/>
      <c r="M161" s="56"/>
      <c r="N161" s="18"/>
      <c r="O161" s="18"/>
      <c r="P161" s="18"/>
      <c r="Q161" s="18"/>
      <c r="R161" s="18"/>
      <c r="S161"/>
    </row>
    <row r="162" spans="8:19" s="6" customFormat="1" ht="20.100000000000001" customHeight="1" x14ac:dyDescent="0.25">
      <c r="H162" s="56"/>
      <c r="I162" s="56"/>
      <c r="J162" s="56"/>
      <c r="K162" s="56"/>
      <c r="L162" s="56"/>
      <c r="M162" s="56"/>
      <c r="N162" s="18"/>
      <c r="O162" s="18"/>
      <c r="P162" s="18"/>
      <c r="Q162" s="18"/>
      <c r="R162" s="18"/>
      <c r="S162"/>
    </row>
    <row r="163" spans="8:19" s="6" customFormat="1" ht="20.100000000000001" customHeight="1" x14ac:dyDescent="0.25">
      <c r="H163" s="56"/>
      <c r="I163" s="56"/>
      <c r="J163" s="56"/>
      <c r="K163" s="56"/>
      <c r="L163" s="56"/>
      <c r="M163" s="56"/>
      <c r="N163" s="18"/>
      <c r="O163" s="18"/>
      <c r="P163" s="18"/>
      <c r="Q163" s="18"/>
      <c r="R163" s="18"/>
      <c r="S163"/>
    </row>
    <row r="164" spans="8:19" s="6" customFormat="1" ht="20.100000000000001" customHeight="1" x14ac:dyDescent="0.25">
      <c r="H164" s="56"/>
      <c r="I164" s="56"/>
      <c r="J164" s="56"/>
      <c r="K164" s="56"/>
      <c r="L164" s="56"/>
      <c r="M164" s="56"/>
      <c r="N164" s="18"/>
      <c r="O164" s="18"/>
      <c r="P164" s="18"/>
      <c r="Q164" s="18"/>
      <c r="R164" s="18"/>
      <c r="S164"/>
    </row>
    <row r="165" spans="8:19" s="6" customFormat="1" ht="20.100000000000001" customHeight="1" x14ac:dyDescent="0.25">
      <c r="H165" s="56"/>
      <c r="I165" s="56"/>
      <c r="J165" s="56"/>
      <c r="K165" s="56"/>
      <c r="L165" s="56"/>
      <c r="M165" s="56"/>
      <c r="N165" s="18"/>
      <c r="O165" s="18"/>
      <c r="P165" s="18"/>
      <c r="Q165" s="18"/>
      <c r="R165" s="18"/>
      <c r="S165"/>
    </row>
    <row r="166" spans="8:19" s="6" customFormat="1" ht="20.100000000000001" customHeight="1" x14ac:dyDescent="0.25">
      <c r="H166" s="56"/>
      <c r="I166" s="56"/>
      <c r="J166" s="56"/>
      <c r="K166" s="56"/>
      <c r="L166" s="56"/>
      <c r="M166" s="56"/>
      <c r="N166" s="18"/>
      <c r="O166" s="18"/>
      <c r="P166" s="18"/>
      <c r="Q166" s="18"/>
      <c r="R166" s="18"/>
      <c r="S166"/>
    </row>
    <row r="167" spans="8:19" s="6" customFormat="1" ht="20.100000000000001" customHeight="1" x14ac:dyDescent="0.25">
      <c r="H167" s="56"/>
      <c r="I167" s="56"/>
      <c r="J167" s="56"/>
      <c r="K167" s="56"/>
      <c r="L167" s="56"/>
      <c r="M167" s="56"/>
      <c r="N167" s="18"/>
      <c r="O167" s="18"/>
      <c r="P167" s="18"/>
      <c r="Q167" s="18"/>
      <c r="R167" s="18"/>
      <c r="S167"/>
    </row>
    <row r="168" spans="8:19" s="6" customFormat="1" ht="20.100000000000001" customHeight="1" x14ac:dyDescent="0.25">
      <c r="H168" s="56"/>
      <c r="I168" s="56"/>
      <c r="J168" s="56"/>
      <c r="K168" s="56"/>
      <c r="L168" s="56"/>
      <c r="M168" s="56"/>
      <c r="N168" s="18"/>
      <c r="O168" s="18"/>
      <c r="P168" s="18"/>
      <c r="Q168" s="18"/>
      <c r="R168" s="18"/>
      <c r="S168"/>
    </row>
    <row r="169" spans="8:19" s="6" customFormat="1" ht="20.100000000000001" customHeight="1" x14ac:dyDescent="0.25">
      <c r="H169" s="56"/>
      <c r="I169" s="56"/>
      <c r="J169" s="56"/>
      <c r="K169" s="56"/>
      <c r="L169" s="56"/>
      <c r="M169" s="56"/>
      <c r="N169" s="18"/>
      <c r="O169" s="18"/>
      <c r="P169" s="18"/>
      <c r="Q169" s="18"/>
      <c r="R169" s="18"/>
      <c r="S169"/>
    </row>
    <row r="170" spans="8:19" s="6" customFormat="1" ht="20.100000000000001" customHeight="1" x14ac:dyDescent="0.25">
      <c r="H170" s="56"/>
      <c r="I170" s="56"/>
      <c r="J170" s="56"/>
      <c r="K170" s="56"/>
      <c r="L170" s="56"/>
      <c r="M170" s="56"/>
      <c r="N170" s="18"/>
      <c r="O170" s="18"/>
      <c r="P170" s="18"/>
      <c r="Q170" s="18"/>
      <c r="R170" s="18"/>
      <c r="S170"/>
    </row>
    <row r="171" spans="8:19" s="6" customFormat="1" ht="20.100000000000001" customHeight="1" x14ac:dyDescent="0.25">
      <c r="H171" s="56"/>
      <c r="I171" s="56"/>
      <c r="J171" s="56"/>
      <c r="K171" s="56"/>
      <c r="L171" s="56"/>
      <c r="M171" s="56"/>
      <c r="N171" s="18"/>
      <c r="O171" s="18"/>
      <c r="P171" s="18"/>
      <c r="Q171" s="18"/>
      <c r="R171" s="18"/>
      <c r="S171"/>
    </row>
    <row r="172" spans="8:19" s="6" customFormat="1" ht="20.100000000000001" customHeight="1" x14ac:dyDescent="0.25">
      <c r="H172" s="56"/>
      <c r="I172" s="56"/>
      <c r="J172" s="56"/>
      <c r="K172" s="56"/>
      <c r="L172" s="56"/>
      <c r="M172" s="56"/>
      <c r="N172" s="18"/>
      <c r="O172" s="18"/>
      <c r="P172" s="18"/>
      <c r="Q172" s="18"/>
      <c r="R172" s="18"/>
      <c r="S172"/>
    </row>
    <row r="173" spans="8:19" s="6" customFormat="1" ht="20.100000000000001" customHeight="1" x14ac:dyDescent="0.25">
      <c r="H173" s="56"/>
      <c r="I173" s="56"/>
      <c r="J173" s="56"/>
      <c r="K173" s="56"/>
      <c r="L173" s="56"/>
      <c r="M173" s="56"/>
      <c r="N173" s="18"/>
      <c r="O173" s="18"/>
      <c r="P173" s="18"/>
      <c r="Q173" s="18"/>
      <c r="R173" s="18"/>
      <c r="S173"/>
    </row>
    <row r="174" spans="8:19" s="6" customFormat="1" ht="20.100000000000001" customHeight="1" x14ac:dyDescent="0.25">
      <c r="H174" s="56"/>
      <c r="I174" s="56"/>
      <c r="J174" s="56"/>
      <c r="K174" s="56"/>
      <c r="L174" s="56"/>
      <c r="M174" s="56"/>
      <c r="N174" s="18"/>
      <c r="O174" s="18"/>
      <c r="P174" s="18"/>
      <c r="Q174" s="18"/>
      <c r="R174" s="18"/>
      <c r="S174"/>
    </row>
    <row r="175" spans="8:19" s="6" customFormat="1" ht="20.100000000000001" customHeight="1" x14ac:dyDescent="0.25">
      <c r="H175" s="56"/>
      <c r="I175" s="56"/>
      <c r="J175" s="56"/>
      <c r="K175" s="56"/>
      <c r="L175" s="56"/>
      <c r="M175" s="56"/>
      <c r="N175" s="18"/>
      <c r="O175" s="18"/>
      <c r="P175" s="18"/>
      <c r="Q175" s="18"/>
      <c r="R175" s="18"/>
      <c r="S175"/>
    </row>
    <row r="176" spans="8:19" s="6" customFormat="1" ht="20.100000000000001" customHeight="1" x14ac:dyDescent="0.25">
      <c r="H176" s="56"/>
      <c r="I176" s="56"/>
      <c r="J176" s="56"/>
      <c r="K176" s="56"/>
      <c r="L176" s="56"/>
      <c r="M176" s="56"/>
      <c r="N176" s="18"/>
      <c r="O176" s="18"/>
      <c r="P176" s="18"/>
      <c r="Q176" s="18"/>
      <c r="R176" s="18"/>
      <c r="S176"/>
    </row>
    <row r="177" spans="8:19" s="6" customFormat="1" ht="20.100000000000001" customHeight="1" x14ac:dyDescent="0.25">
      <c r="H177" s="56"/>
      <c r="I177" s="56"/>
      <c r="J177" s="56"/>
      <c r="K177" s="56"/>
      <c r="L177" s="56"/>
      <c r="M177" s="56"/>
      <c r="N177" s="18"/>
      <c r="O177" s="18"/>
      <c r="P177" s="18"/>
      <c r="Q177" s="18"/>
      <c r="R177" s="18"/>
      <c r="S177"/>
    </row>
    <row r="178" spans="8:19" s="6" customFormat="1" ht="20.100000000000001" customHeight="1" x14ac:dyDescent="0.25">
      <c r="H178" s="56"/>
      <c r="I178" s="56"/>
      <c r="J178" s="56"/>
      <c r="K178" s="56"/>
      <c r="L178" s="56"/>
      <c r="M178" s="56"/>
      <c r="N178" s="18"/>
      <c r="O178" s="18"/>
      <c r="P178" s="18"/>
      <c r="Q178" s="18"/>
      <c r="R178" s="18"/>
      <c r="S178"/>
    </row>
    <row r="179" spans="8:19" s="6" customFormat="1" ht="20.100000000000001" customHeight="1" x14ac:dyDescent="0.25">
      <c r="H179" s="56"/>
      <c r="I179" s="56"/>
      <c r="J179" s="56"/>
      <c r="K179" s="56"/>
      <c r="L179" s="56"/>
      <c r="M179" s="56"/>
      <c r="N179" s="18"/>
      <c r="O179" s="18"/>
      <c r="P179" s="18"/>
      <c r="Q179" s="18"/>
      <c r="R179" s="18"/>
      <c r="S179"/>
    </row>
    <row r="180" spans="8:19" s="6" customFormat="1" ht="20.100000000000001" customHeight="1" x14ac:dyDescent="0.25">
      <c r="H180" s="56"/>
      <c r="I180" s="56"/>
      <c r="J180" s="56"/>
      <c r="K180" s="56"/>
      <c r="L180" s="56"/>
      <c r="M180" s="56"/>
      <c r="N180" s="18"/>
      <c r="O180" s="18"/>
      <c r="P180" s="18"/>
      <c r="Q180" s="18"/>
      <c r="R180" s="18"/>
      <c r="S180"/>
    </row>
    <row r="181" spans="8:19" s="6" customFormat="1" ht="20.100000000000001" customHeight="1" x14ac:dyDescent="0.25">
      <c r="H181" s="56"/>
      <c r="I181" s="56"/>
      <c r="J181" s="56"/>
      <c r="K181" s="56"/>
      <c r="L181" s="56"/>
      <c r="M181" s="56"/>
      <c r="N181" s="18"/>
      <c r="O181" s="18"/>
      <c r="P181" s="18"/>
      <c r="Q181" s="18"/>
      <c r="R181" s="18"/>
      <c r="S181"/>
    </row>
    <row r="182" spans="8:19" s="6" customFormat="1" ht="20.100000000000001" customHeight="1" x14ac:dyDescent="0.25">
      <c r="H182" s="56"/>
      <c r="I182" s="56"/>
      <c r="J182" s="56"/>
      <c r="K182" s="56"/>
      <c r="L182" s="56"/>
      <c r="M182" s="56"/>
      <c r="N182" s="18"/>
      <c r="O182" s="18"/>
      <c r="P182" s="18"/>
      <c r="Q182" s="18"/>
      <c r="R182" s="18"/>
      <c r="S182"/>
    </row>
    <row r="183" spans="8:19" s="6" customFormat="1" ht="20.100000000000001" customHeight="1" x14ac:dyDescent="0.25">
      <c r="H183" s="56"/>
      <c r="I183" s="56"/>
      <c r="J183" s="56"/>
      <c r="K183" s="56"/>
      <c r="L183" s="56"/>
      <c r="M183" s="56"/>
      <c r="N183" s="18"/>
      <c r="O183" s="18"/>
      <c r="P183" s="18"/>
      <c r="Q183" s="18"/>
      <c r="R183" s="18"/>
      <c r="S183"/>
    </row>
    <row r="184" spans="8:19" s="6" customFormat="1" ht="20.100000000000001" customHeight="1" x14ac:dyDescent="0.25">
      <c r="H184" s="56"/>
      <c r="I184" s="56"/>
      <c r="J184" s="56"/>
      <c r="K184" s="56"/>
      <c r="L184" s="56"/>
      <c r="M184" s="56"/>
      <c r="N184" s="18"/>
      <c r="O184" s="18"/>
      <c r="P184" s="18"/>
      <c r="Q184" s="18"/>
      <c r="R184" s="18"/>
      <c r="S184"/>
    </row>
    <row r="185" spans="8:19" s="6" customFormat="1" ht="20.100000000000001" customHeight="1" x14ac:dyDescent="0.25">
      <c r="H185" s="56"/>
      <c r="I185" s="56"/>
      <c r="J185" s="56"/>
      <c r="K185" s="56"/>
      <c r="L185" s="56"/>
      <c r="M185" s="56"/>
      <c r="N185" s="18"/>
      <c r="O185" s="18"/>
      <c r="P185" s="18"/>
      <c r="Q185" s="18"/>
      <c r="R185" s="18"/>
      <c r="S185"/>
    </row>
    <row r="186" spans="8:19" s="6" customFormat="1" ht="20.100000000000001" customHeight="1" x14ac:dyDescent="0.25">
      <c r="H186" s="56"/>
      <c r="I186" s="56"/>
      <c r="J186" s="56"/>
      <c r="K186" s="56"/>
      <c r="L186" s="56"/>
      <c r="M186" s="56"/>
      <c r="N186" s="18"/>
      <c r="O186" s="18"/>
      <c r="P186" s="18"/>
      <c r="Q186" s="18"/>
      <c r="R186" s="18"/>
      <c r="S186"/>
    </row>
    <row r="187" spans="8:19" s="6" customFormat="1" ht="20.100000000000001" customHeight="1" x14ac:dyDescent="0.25">
      <c r="H187" s="56"/>
      <c r="I187" s="56"/>
      <c r="J187" s="56"/>
      <c r="K187" s="56"/>
      <c r="L187" s="56"/>
      <c r="M187" s="56"/>
      <c r="N187" s="18"/>
      <c r="O187" s="18"/>
      <c r="P187" s="18"/>
      <c r="Q187" s="18"/>
      <c r="R187" s="18"/>
      <c r="S187"/>
    </row>
    <row r="188" spans="8:19" s="6" customFormat="1" ht="20.100000000000001" customHeight="1" x14ac:dyDescent="0.25">
      <c r="H188" s="56"/>
      <c r="I188" s="56"/>
      <c r="J188" s="56"/>
      <c r="K188" s="56"/>
      <c r="L188" s="56"/>
      <c r="M188" s="56"/>
      <c r="N188" s="18"/>
      <c r="O188" s="18"/>
      <c r="P188" s="18"/>
      <c r="Q188" s="18"/>
      <c r="R188" s="18"/>
      <c r="S188"/>
    </row>
    <row r="189" spans="8:19" s="6" customFormat="1" ht="20.100000000000001" customHeight="1" x14ac:dyDescent="0.25">
      <c r="H189" s="56"/>
      <c r="I189" s="56"/>
      <c r="J189" s="56"/>
      <c r="K189" s="56"/>
      <c r="L189" s="56"/>
      <c r="M189" s="56"/>
      <c r="N189" s="18"/>
      <c r="O189" s="18"/>
      <c r="P189" s="18"/>
      <c r="Q189" s="18"/>
      <c r="R189" s="18"/>
      <c r="S189"/>
    </row>
    <row r="190" spans="8:19" s="6" customFormat="1" ht="20.100000000000001" customHeight="1" x14ac:dyDescent="0.25">
      <c r="H190" s="56"/>
      <c r="I190" s="56"/>
      <c r="J190" s="56"/>
      <c r="K190" s="56"/>
      <c r="L190" s="56"/>
      <c r="M190" s="56"/>
      <c r="N190" s="18"/>
      <c r="O190" s="18"/>
      <c r="P190" s="18"/>
      <c r="Q190" s="18"/>
      <c r="R190" s="18"/>
      <c r="S190"/>
    </row>
    <row r="191" spans="8:19" s="6" customFormat="1" ht="20.100000000000001" customHeight="1" x14ac:dyDescent="0.25">
      <c r="H191" s="56"/>
      <c r="I191" s="56"/>
      <c r="J191" s="56"/>
      <c r="K191" s="56"/>
      <c r="L191" s="56"/>
      <c r="M191" s="56"/>
      <c r="N191" s="18"/>
      <c r="O191" s="18"/>
      <c r="P191" s="18"/>
      <c r="Q191" s="18"/>
      <c r="R191" s="18"/>
      <c r="S191"/>
    </row>
    <row r="192" spans="8:19" s="6" customFormat="1" ht="20.100000000000001" customHeight="1" x14ac:dyDescent="0.25">
      <c r="H192" s="56"/>
      <c r="I192" s="56"/>
      <c r="J192" s="56"/>
      <c r="K192" s="56"/>
      <c r="L192" s="56"/>
      <c r="M192" s="56"/>
      <c r="N192" s="18"/>
      <c r="O192" s="18"/>
      <c r="P192" s="18"/>
      <c r="Q192" s="18"/>
      <c r="R192" s="18"/>
      <c r="S192"/>
    </row>
    <row r="193" spans="8:19" s="6" customFormat="1" ht="20.100000000000001" customHeight="1" x14ac:dyDescent="0.25">
      <c r="H193" s="56"/>
      <c r="I193" s="56"/>
      <c r="J193" s="56"/>
      <c r="K193" s="56"/>
      <c r="L193" s="56"/>
      <c r="M193" s="56"/>
      <c r="N193" s="18"/>
      <c r="O193" s="18"/>
      <c r="P193" s="18"/>
      <c r="Q193" s="18"/>
      <c r="R193" s="18"/>
      <c r="S193"/>
    </row>
    <row r="194" spans="8:19" s="6" customFormat="1" ht="20.100000000000001" customHeight="1" x14ac:dyDescent="0.25">
      <c r="H194" s="56"/>
      <c r="I194" s="56"/>
      <c r="J194" s="56"/>
      <c r="K194" s="56"/>
      <c r="L194" s="56"/>
      <c r="M194" s="56"/>
      <c r="N194" s="18"/>
      <c r="O194" s="18"/>
      <c r="P194" s="18"/>
      <c r="Q194" s="18"/>
      <c r="R194" s="18"/>
      <c r="S194"/>
    </row>
    <row r="195" spans="8:19" s="6" customFormat="1" ht="20.100000000000001" customHeight="1" x14ac:dyDescent="0.25">
      <c r="H195" s="56"/>
      <c r="I195" s="56"/>
      <c r="J195" s="56"/>
      <c r="K195" s="56"/>
      <c r="L195" s="56"/>
      <c r="M195" s="56"/>
      <c r="N195" s="18"/>
      <c r="O195" s="18"/>
      <c r="P195" s="18"/>
      <c r="Q195" s="18"/>
      <c r="R195" s="18"/>
      <c r="S195"/>
    </row>
    <row r="196" spans="8:19" s="6" customFormat="1" ht="20.100000000000001" customHeight="1" x14ac:dyDescent="0.25">
      <c r="H196" s="56"/>
      <c r="I196" s="56"/>
      <c r="J196" s="56"/>
      <c r="K196" s="56"/>
      <c r="L196" s="56"/>
      <c r="M196" s="56"/>
      <c r="N196" s="18"/>
      <c r="O196" s="18"/>
      <c r="P196" s="18"/>
      <c r="Q196" s="18"/>
      <c r="R196" s="18"/>
      <c r="S196"/>
    </row>
    <row r="197" spans="8:19" s="6" customFormat="1" ht="20.100000000000001" customHeight="1" x14ac:dyDescent="0.25">
      <c r="H197" s="56"/>
      <c r="I197" s="56"/>
      <c r="J197" s="56"/>
      <c r="K197" s="56"/>
      <c r="L197" s="56"/>
      <c r="M197" s="56"/>
      <c r="N197" s="18"/>
      <c r="O197" s="18"/>
      <c r="P197" s="18"/>
      <c r="Q197" s="18"/>
      <c r="R197" s="18"/>
      <c r="S197"/>
    </row>
    <row r="198" spans="8:19" s="6" customFormat="1" ht="20.100000000000001" customHeight="1" x14ac:dyDescent="0.25">
      <c r="H198" s="56"/>
      <c r="I198" s="56"/>
      <c r="J198" s="56"/>
      <c r="K198" s="56"/>
      <c r="L198" s="56"/>
      <c r="M198" s="56"/>
      <c r="N198" s="18"/>
      <c r="O198" s="18"/>
      <c r="P198" s="18"/>
      <c r="Q198" s="18"/>
      <c r="R198" s="18"/>
      <c r="S198"/>
    </row>
    <row r="199" spans="8:19" s="6" customFormat="1" ht="20.100000000000001" customHeight="1" x14ac:dyDescent="0.25">
      <c r="H199" s="56"/>
      <c r="I199" s="56"/>
      <c r="J199" s="56"/>
      <c r="K199" s="56"/>
      <c r="L199" s="56"/>
      <c r="M199" s="56"/>
      <c r="N199" s="18"/>
      <c r="O199" s="18"/>
      <c r="P199" s="18"/>
      <c r="Q199" s="18"/>
      <c r="R199" s="18"/>
      <c r="S199"/>
    </row>
    <row r="200" spans="8:19" s="6" customFormat="1" ht="20.100000000000001" customHeight="1" x14ac:dyDescent="0.25">
      <c r="H200" s="56"/>
      <c r="I200" s="56"/>
      <c r="J200" s="56"/>
      <c r="K200" s="56"/>
      <c r="L200" s="56"/>
      <c r="M200" s="56"/>
      <c r="N200" s="18"/>
      <c r="O200" s="18"/>
      <c r="P200" s="18"/>
      <c r="Q200" s="18"/>
      <c r="R200" s="18"/>
      <c r="S200"/>
    </row>
    <row r="201" spans="8:19" s="6" customFormat="1" ht="20.100000000000001" customHeight="1" x14ac:dyDescent="0.25">
      <c r="H201" s="56"/>
      <c r="I201" s="56"/>
      <c r="J201" s="56"/>
      <c r="K201" s="56"/>
      <c r="L201" s="56"/>
      <c r="M201" s="56"/>
      <c r="N201" s="18"/>
      <c r="O201" s="18"/>
      <c r="P201" s="18"/>
      <c r="Q201" s="18"/>
      <c r="R201" s="18"/>
      <c r="S201"/>
    </row>
    <row r="202" spans="8:19" s="6" customFormat="1" ht="20.100000000000001" customHeight="1" x14ac:dyDescent="0.25">
      <c r="H202" s="56"/>
      <c r="I202" s="56"/>
      <c r="J202" s="56"/>
      <c r="K202" s="56"/>
      <c r="L202" s="56"/>
      <c r="M202" s="56"/>
      <c r="N202" s="18"/>
      <c r="O202" s="18"/>
      <c r="P202" s="18"/>
      <c r="Q202" s="18"/>
      <c r="R202" s="18"/>
      <c r="S202"/>
    </row>
    <row r="203" spans="8:19" s="6" customFormat="1" ht="20.100000000000001" customHeight="1" x14ac:dyDescent="0.25">
      <c r="H203" s="56"/>
      <c r="I203" s="56"/>
      <c r="J203" s="56"/>
      <c r="K203" s="56"/>
      <c r="L203" s="56"/>
      <c r="M203" s="56"/>
      <c r="N203" s="18"/>
      <c r="O203" s="18"/>
      <c r="P203" s="18"/>
      <c r="Q203" s="18"/>
      <c r="R203" s="18"/>
      <c r="S203"/>
    </row>
    <row r="204" spans="8:19" s="6" customFormat="1" ht="20.100000000000001" customHeight="1" x14ac:dyDescent="0.25">
      <c r="H204" s="56"/>
      <c r="I204" s="56"/>
      <c r="J204" s="56"/>
      <c r="K204" s="56"/>
      <c r="L204" s="56"/>
      <c r="M204" s="56"/>
      <c r="N204" s="18"/>
      <c r="O204" s="18"/>
      <c r="P204" s="18"/>
      <c r="Q204" s="18"/>
      <c r="R204" s="18"/>
      <c r="S204"/>
    </row>
    <row r="205" spans="8:19" s="6" customFormat="1" ht="20.100000000000001" customHeight="1" x14ac:dyDescent="0.25">
      <c r="H205" s="56"/>
      <c r="I205" s="56"/>
      <c r="J205" s="56"/>
      <c r="K205" s="56"/>
      <c r="L205" s="56"/>
      <c r="M205" s="56"/>
      <c r="N205" s="18"/>
      <c r="O205" s="18"/>
      <c r="P205" s="18"/>
      <c r="Q205" s="18"/>
      <c r="R205" s="18"/>
      <c r="S205"/>
    </row>
    <row r="206" spans="8:19" s="6" customFormat="1" ht="20.100000000000001" customHeight="1" x14ac:dyDescent="0.25">
      <c r="H206" s="56"/>
      <c r="I206" s="56"/>
      <c r="J206" s="56"/>
      <c r="K206" s="56"/>
      <c r="L206" s="56"/>
      <c r="M206" s="56"/>
      <c r="N206" s="18"/>
      <c r="O206" s="18"/>
      <c r="P206" s="18"/>
      <c r="Q206" s="18"/>
      <c r="R206" s="18"/>
      <c r="S206"/>
    </row>
    <row r="207" spans="8:19" s="6" customFormat="1" ht="20.100000000000001" customHeight="1" x14ac:dyDescent="0.25">
      <c r="H207" s="56"/>
      <c r="I207" s="56"/>
      <c r="J207" s="56"/>
      <c r="K207" s="56"/>
      <c r="L207" s="56"/>
      <c r="M207" s="56"/>
      <c r="N207" s="18"/>
      <c r="O207" s="18"/>
      <c r="P207" s="18"/>
      <c r="Q207" s="18"/>
      <c r="R207" s="18"/>
      <c r="S207"/>
    </row>
    <row r="208" spans="8:19" s="6" customFormat="1" ht="20.100000000000001" customHeight="1" x14ac:dyDescent="0.25">
      <c r="H208" s="56"/>
      <c r="I208" s="56"/>
      <c r="J208" s="56"/>
      <c r="K208" s="56"/>
      <c r="L208" s="56"/>
      <c r="M208" s="56"/>
      <c r="N208" s="18"/>
      <c r="O208" s="18"/>
      <c r="P208" s="18"/>
      <c r="Q208" s="18"/>
      <c r="R208" s="18"/>
      <c r="S208"/>
    </row>
    <row r="209" spans="8:19" s="6" customFormat="1" ht="20.100000000000001" customHeight="1" x14ac:dyDescent="0.25">
      <c r="H209" s="56"/>
      <c r="I209" s="56"/>
      <c r="J209" s="56"/>
      <c r="K209" s="56"/>
      <c r="L209" s="56"/>
      <c r="M209" s="56"/>
      <c r="N209" s="18"/>
      <c r="O209" s="18"/>
      <c r="P209" s="18"/>
      <c r="Q209" s="18"/>
      <c r="R209" s="18"/>
      <c r="S209"/>
    </row>
    <row r="210" spans="8:19" s="6" customFormat="1" ht="20.100000000000001" customHeight="1" x14ac:dyDescent="0.25">
      <c r="H210" s="56"/>
      <c r="I210" s="56"/>
      <c r="J210" s="56"/>
      <c r="K210" s="56"/>
      <c r="L210" s="56"/>
      <c r="M210" s="56"/>
      <c r="N210" s="18"/>
      <c r="O210" s="18"/>
      <c r="P210" s="18"/>
      <c r="Q210" s="18"/>
      <c r="R210" s="18"/>
      <c r="S210"/>
    </row>
    <row r="211" spans="8:19" s="6" customFormat="1" ht="20.100000000000001" customHeight="1" x14ac:dyDescent="0.25">
      <c r="H211" s="56"/>
      <c r="I211" s="56"/>
      <c r="J211" s="56"/>
      <c r="K211" s="56"/>
      <c r="L211" s="56"/>
      <c r="M211" s="56"/>
      <c r="N211" s="18"/>
      <c r="O211" s="18"/>
      <c r="P211" s="18"/>
      <c r="Q211" s="18"/>
      <c r="R211" s="18"/>
      <c r="S211"/>
    </row>
    <row r="212" spans="8:19" s="6" customFormat="1" ht="20.100000000000001" customHeight="1" x14ac:dyDescent="0.25">
      <c r="H212" s="56"/>
      <c r="I212" s="56"/>
      <c r="J212" s="56"/>
      <c r="K212" s="56"/>
      <c r="L212" s="56"/>
      <c r="M212" s="56"/>
      <c r="N212" s="18"/>
      <c r="O212" s="18"/>
      <c r="P212" s="18"/>
      <c r="Q212" s="18"/>
      <c r="R212" s="18"/>
      <c r="S212"/>
    </row>
    <row r="213" spans="8:19" s="6" customFormat="1" ht="20.100000000000001" customHeight="1" x14ac:dyDescent="0.25">
      <c r="H213" s="56"/>
      <c r="I213" s="56"/>
      <c r="J213" s="56"/>
      <c r="K213" s="56"/>
      <c r="L213" s="56"/>
      <c r="M213" s="56"/>
      <c r="N213" s="18"/>
      <c r="O213" s="18"/>
      <c r="P213" s="18"/>
      <c r="Q213" s="18"/>
      <c r="R213" s="18"/>
      <c r="S213"/>
    </row>
    <row r="214" spans="8:19" s="6" customFormat="1" ht="20.100000000000001" customHeight="1" x14ac:dyDescent="0.25">
      <c r="H214" s="56"/>
      <c r="I214" s="56"/>
      <c r="J214" s="56"/>
      <c r="K214" s="56"/>
      <c r="L214" s="56"/>
      <c r="M214" s="56"/>
      <c r="N214" s="18"/>
      <c r="O214" s="18"/>
      <c r="P214" s="18"/>
      <c r="Q214" s="18"/>
      <c r="R214" s="18"/>
      <c r="S214"/>
    </row>
    <row r="215" spans="8:19" s="6" customFormat="1" ht="20.100000000000001" customHeight="1" x14ac:dyDescent="0.25">
      <c r="H215" s="56"/>
      <c r="I215" s="56"/>
      <c r="J215" s="56"/>
      <c r="K215" s="56"/>
      <c r="L215" s="56"/>
      <c r="M215" s="56"/>
      <c r="N215" s="18"/>
      <c r="O215" s="18"/>
      <c r="P215" s="18"/>
      <c r="Q215" s="18"/>
      <c r="R215" s="18"/>
      <c r="S215"/>
    </row>
    <row r="216" spans="8:19" s="6" customFormat="1" ht="20.100000000000001" customHeight="1" x14ac:dyDescent="0.25">
      <c r="H216" s="56"/>
      <c r="I216" s="56"/>
      <c r="J216" s="56"/>
      <c r="K216" s="56"/>
      <c r="L216" s="56"/>
      <c r="M216" s="56"/>
      <c r="N216" s="18"/>
      <c r="O216" s="18"/>
      <c r="P216" s="18"/>
      <c r="Q216" s="18"/>
      <c r="R216" s="18"/>
      <c r="S216"/>
    </row>
    <row r="217" spans="8:19" s="6" customFormat="1" ht="20.100000000000001" customHeight="1" x14ac:dyDescent="0.25">
      <c r="H217" s="56"/>
      <c r="I217" s="56"/>
      <c r="J217" s="56"/>
      <c r="K217" s="56"/>
      <c r="L217" s="56"/>
      <c r="M217" s="56"/>
      <c r="N217" s="18"/>
      <c r="O217" s="18"/>
      <c r="P217" s="18"/>
      <c r="Q217" s="18"/>
      <c r="R217" s="18"/>
      <c r="S217"/>
    </row>
    <row r="218" spans="8:19" s="6" customFormat="1" ht="20.100000000000001" customHeight="1" x14ac:dyDescent="0.25">
      <c r="H218" s="56"/>
      <c r="I218" s="56"/>
      <c r="J218" s="56"/>
      <c r="K218" s="56"/>
      <c r="L218" s="56"/>
      <c r="M218" s="56"/>
      <c r="N218" s="18"/>
      <c r="O218" s="18"/>
      <c r="P218" s="18"/>
      <c r="Q218" s="18"/>
      <c r="R218" s="18"/>
      <c r="S218"/>
    </row>
    <row r="219" spans="8:19" s="6" customFormat="1" ht="20.100000000000001" customHeight="1" x14ac:dyDescent="0.25">
      <c r="H219" s="56"/>
      <c r="I219" s="56"/>
      <c r="J219" s="56"/>
      <c r="K219" s="56"/>
      <c r="L219" s="56"/>
      <c r="M219" s="56"/>
      <c r="N219" s="18"/>
      <c r="O219" s="18"/>
      <c r="P219" s="18"/>
      <c r="Q219" s="18"/>
      <c r="R219" s="18"/>
      <c r="S219"/>
    </row>
    <row r="220" spans="8:19" s="6" customFormat="1" ht="20.100000000000001" customHeight="1" x14ac:dyDescent="0.25">
      <c r="H220" s="56"/>
      <c r="I220" s="56"/>
      <c r="J220" s="56"/>
      <c r="K220" s="56"/>
      <c r="L220" s="56"/>
      <c r="M220" s="56"/>
      <c r="N220" s="18"/>
      <c r="O220" s="18"/>
      <c r="P220" s="18"/>
      <c r="Q220" s="18"/>
      <c r="R220" s="18"/>
      <c r="S220"/>
    </row>
    <row r="221" spans="8:19" s="6" customFormat="1" ht="20.100000000000001" customHeight="1" x14ac:dyDescent="0.25">
      <c r="H221" s="56"/>
      <c r="I221" s="56"/>
      <c r="J221" s="56"/>
      <c r="K221" s="56"/>
      <c r="L221" s="56"/>
      <c r="M221" s="56"/>
      <c r="N221" s="18"/>
      <c r="O221" s="18"/>
      <c r="P221" s="18"/>
      <c r="Q221" s="18"/>
      <c r="R221" s="18"/>
      <c r="S221"/>
    </row>
    <row r="222" spans="8:19" s="6" customFormat="1" ht="20.100000000000001" customHeight="1" x14ac:dyDescent="0.25">
      <c r="H222" s="56"/>
      <c r="I222" s="56"/>
      <c r="J222" s="56"/>
      <c r="K222" s="56"/>
      <c r="L222" s="56"/>
      <c r="M222" s="56"/>
      <c r="N222" s="18"/>
      <c r="O222" s="18"/>
      <c r="P222" s="18"/>
      <c r="Q222" s="18"/>
      <c r="R222" s="18"/>
      <c r="S222"/>
    </row>
    <row r="223" spans="8:19" s="6" customFormat="1" ht="20.100000000000001" customHeight="1" x14ac:dyDescent="0.25">
      <c r="H223" s="56"/>
      <c r="I223" s="56"/>
      <c r="J223" s="56"/>
      <c r="K223" s="56"/>
      <c r="L223" s="56"/>
      <c r="M223" s="56"/>
      <c r="N223" s="18"/>
      <c r="O223" s="18"/>
      <c r="P223" s="18"/>
      <c r="Q223" s="18"/>
      <c r="R223" s="18"/>
      <c r="S223"/>
    </row>
    <row r="224" spans="8:19" s="6" customFormat="1" ht="20.100000000000001" customHeight="1" x14ac:dyDescent="0.25">
      <c r="H224" s="56"/>
      <c r="I224" s="56"/>
      <c r="J224" s="56"/>
      <c r="K224" s="56"/>
      <c r="L224" s="56"/>
      <c r="M224" s="56"/>
      <c r="N224" s="18"/>
      <c r="O224" s="18"/>
      <c r="P224" s="18"/>
      <c r="Q224" s="18"/>
      <c r="R224" s="18"/>
      <c r="S224"/>
    </row>
    <row r="225" spans="8:19" s="6" customFormat="1" ht="20.100000000000001" customHeight="1" x14ac:dyDescent="0.25">
      <c r="H225" s="56"/>
      <c r="I225" s="56"/>
      <c r="J225" s="56"/>
      <c r="K225" s="56"/>
      <c r="L225" s="56"/>
      <c r="M225" s="56"/>
      <c r="N225" s="18"/>
      <c r="O225" s="18"/>
      <c r="P225" s="18"/>
      <c r="Q225" s="18"/>
      <c r="R225" s="18"/>
      <c r="S225"/>
    </row>
    <row r="226" spans="8:19" s="6" customFormat="1" ht="20.100000000000001" customHeight="1" x14ac:dyDescent="0.25">
      <c r="H226" s="56"/>
      <c r="I226" s="56"/>
      <c r="J226" s="56"/>
      <c r="K226" s="56"/>
      <c r="L226" s="56"/>
      <c r="M226" s="56"/>
      <c r="N226" s="18"/>
      <c r="O226" s="18"/>
      <c r="P226" s="18"/>
      <c r="Q226" s="18"/>
      <c r="R226" s="18"/>
      <c r="S226"/>
    </row>
    <row r="227" spans="8:19" s="6" customFormat="1" ht="20.100000000000001" customHeight="1" x14ac:dyDescent="0.25">
      <c r="H227" s="56"/>
      <c r="I227" s="56"/>
      <c r="J227" s="56"/>
      <c r="K227" s="56"/>
      <c r="L227" s="56"/>
      <c r="M227" s="56"/>
      <c r="N227" s="18"/>
      <c r="O227" s="18"/>
      <c r="P227" s="18"/>
      <c r="Q227" s="18"/>
      <c r="R227" s="18"/>
      <c r="S227"/>
    </row>
    <row r="228" spans="8:19" s="6" customFormat="1" ht="20.100000000000001" customHeight="1" x14ac:dyDescent="0.25">
      <c r="H228" s="56"/>
      <c r="I228" s="56"/>
      <c r="J228" s="56"/>
      <c r="K228" s="56"/>
      <c r="L228" s="56"/>
      <c r="M228" s="56"/>
      <c r="N228" s="18"/>
      <c r="O228" s="18"/>
      <c r="P228" s="18"/>
      <c r="Q228" s="18"/>
      <c r="R228" s="18"/>
      <c r="S228"/>
    </row>
    <row r="229" spans="8:19" s="6" customFormat="1" ht="20.100000000000001" customHeight="1" x14ac:dyDescent="0.25">
      <c r="H229" s="56"/>
      <c r="I229" s="56"/>
      <c r="J229" s="56"/>
      <c r="K229" s="56"/>
      <c r="L229" s="56"/>
      <c r="M229" s="56"/>
      <c r="N229" s="18"/>
      <c r="O229" s="18"/>
      <c r="P229" s="18"/>
      <c r="Q229" s="18"/>
      <c r="R229" s="18"/>
      <c r="S229"/>
    </row>
    <row r="230" spans="8:19" s="6" customFormat="1" ht="20.100000000000001" customHeight="1" x14ac:dyDescent="0.25">
      <c r="H230" s="56"/>
      <c r="I230" s="56"/>
      <c r="J230" s="56"/>
      <c r="K230" s="56"/>
      <c r="L230" s="56"/>
      <c r="M230" s="56"/>
      <c r="N230" s="18"/>
      <c r="O230" s="18"/>
      <c r="P230" s="18"/>
      <c r="Q230" s="18"/>
      <c r="R230" s="18"/>
      <c r="S230"/>
    </row>
    <row r="231" spans="8:19" s="6" customFormat="1" ht="20.100000000000001" customHeight="1" x14ac:dyDescent="0.25">
      <c r="H231" s="56"/>
      <c r="I231" s="56"/>
      <c r="J231" s="56"/>
      <c r="K231" s="56"/>
      <c r="L231" s="56"/>
      <c r="M231" s="56"/>
      <c r="N231" s="18"/>
      <c r="O231" s="18"/>
      <c r="P231" s="18"/>
      <c r="Q231" s="18"/>
      <c r="R231" s="18"/>
      <c r="S231"/>
    </row>
    <row r="232" spans="8:19" s="6" customFormat="1" ht="20.100000000000001" customHeight="1" x14ac:dyDescent="0.25">
      <c r="H232" s="56"/>
      <c r="I232" s="56"/>
      <c r="J232" s="56"/>
      <c r="K232" s="56"/>
      <c r="L232" s="56"/>
      <c r="M232" s="56"/>
      <c r="N232" s="18"/>
      <c r="O232" s="18"/>
      <c r="P232" s="18"/>
      <c r="Q232" s="18"/>
      <c r="R232" s="18"/>
      <c r="S232"/>
    </row>
    <row r="233" spans="8:19" s="6" customFormat="1" ht="20.100000000000001" customHeight="1" x14ac:dyDescent="0.25">
      <c r="H233" s="56"/>
      <c r="I233" s="56"/>
      <c r="J233" s="56"/>
      <c r="K233" s="56"/>
      <c r="L233" s="56"/>
      <c r="M233" s="56"/>
      <c r="N233" s="18"/>
      <c r="O233" s="18"/>
      <c r="P233" s="18"/>
      <c r="Q233" s="18"/>
      <c r="R233" s="18"/>
      <c r="S233"/>
    </row>
    <row r="234" spans="8:19" s="6" customFormat="1" ht="20.100000000000001" customHeight="1" x14ac:dyDescent="0.25">
      <c r="H234" s="56"/>
      <c r="I234" s="56"/>
      <c r="J234" s="56"/>
      <c r="K234" s="56"/>
      <c r="L234" s="56"/>
      <c r="M234" s="56"/>
      <c r="N234" s="18"/>
      <c r="O234" s="18"/>
      <c r="P234" s="18"/>
      <c r="Q234" s="18"/>
      <c r="R234" s="18"/>
      <c r="S234"/>
    </row>
    <row r="235" spans="8:19" s="6" customFormat="1" ht="20.100000000000001" customHeight="1" x14ac:dyDescent="0.25">
      <c r="H235" s="56"/>
      <c r="I235" s="56"/>
      <c r="J235" s="56"/>
      <c r="K235" s="56"/>
      <c r="L235" s="56"/>
      <c r="M235" s="56"/>
      <c r="N235" s="18"/>
      <c r="O235" s="18"/>
      <c r="P235" s="18"/>
      <c r="Q235" s="18"/>
      <c r="R235" s="18"/>
      <c r="S235"/>
    </row>
    <row r="236" spans="8:19" s="6" customFormat="1" ht="20.100000000000001" customHeight="1" x14ac:dyDescent="0.25">
      <c r="H236" s="56"/>
      <c r="I236" s="56"/>
      <c r="J236" s="56"/>
      <c r="K236" s="56"/>
      <c r="L236" s="56"/>
      <c r="M236" s="56"/>
      <c r="N236" s="18"/>
      <c r="O236" s="18"/>
      <c r="P236" s="18"/>
      <c r="Q236" s="18"/>
      <c r="R236" s="18"/>
      <c r="S236"/>
    </row>
    <row r="237" spans="8:19" s="6" customFormat="1" ht="20.100000000000001" customHeight="1" x14ac:dyDescent="0.25">
      <c r="H237" s="56"/>
      <c r="I237" s="56"/>
      <c r="J237" s="56"/>
      <c r="K237" s="56"/>
      <c r="L237" s="56"/>
      <c r="M237" s="56"/>
      <c r="N237" s="18"/>
      <c r="O237" s="18"/>
      <c r="P237" s="18"/>
      <c r="Q237" s="18"/>
      <c r="R237" s="18"/>
      <c r="S237"/>
    </row>
    <row r="238" spans="8:19" s="6" customFormat="1" ht="20.100000000000001" customHeight="1" x14ac:dyDescent="0.25">
      <c r="H238" s="56"/>
      <c r="I238" s="56"/>
      <c r="J238" s="56"/>
      <c r="K238" s="56"/>
      <c r="L238" s="56"/>
      <c r="M238" s="56"/>
      <c r="N238" s="18"/>
      <c r="O238" s="18"/>
      <c r="P238" s="18"/>
      <c r="Q238" s="18"/>
      <c r="R238" s="18"/>
      <c r="S238"/>
    </row>
    <row r="239" spans="8:19" s="6" customFormat="1" ht="20.100000000000001" customHeight="1" x14ac:dyDescent="0.25">
      <c r="H239" s="56"/>
      <c r="I239" s="56"/>
      <c r="J239" s="56"/>
      <c r="K239" s="56"/>
      <c r="L239" s="56"/>
      <c r="M239" s="56"/>
      <c r="N239" s="18"/>
      <c r="O239" s="18"/>
      <c r="P239" s="18"/>
      <c r="Q239" s="18"/>
      <c r="R239" s="18"/>
      <c r="S239"/>
    </row>
    <row r="240" spans="8:19" s="6" customFormat="1" ht="20.100000000000001" customHeight="1" x14ac:dyDescent="0.25">
      <c r="H240" s="56"/>
      <c r="I240" s="56"/>
      <c r="J240" s="56"/>
      <c r="K240" s="56"/>
      <c r="L240" s="56"/>
      <c r="M240" s="56"/>
      <c r="N240" s="18"/>
      <c r="O240" s="18"/>
      <c r="P240" s="18"/>
      <c r="Q240" s="18"/>
      <c r="R240" s="18"/>
      <c r="S240"/>
    </row>
    <row r="241" spans="8:19" s="6" customFormat="1" ht="20.100000000000001" customHeight="1" x14ac:dyDescent="0.25">
      <c r="H241" s="56"/>
      <c r="I241" s="56"/>
      <c r="J241" s="56"/>
      <c r="K241" s="56"/>
      <c r="L241" s="56"/>
      <c r="M241" s="56"/>
      <c r="N241" s="18"/>
      <c r="O241" s="18"/>
      <c r="P241" s="18"/>
      <c r="Q241" s="18"/>
      <c r="R241" s="18"/>
      <c r="S241"/>
    </row>
    <row r="242" spans="8:19" s="6" customFormat="1" ht="20.100000000000001" customHeight="1" x14ac:dyDescent="0.25">
      <c r="H242" s="56"/>
      <c r="I242" s="56"/>
      <c r="J242" s="56"/>
      <c r="K242" s="56"/>
      <c r="L242" s="56"/>
      <c r="M242" s="56"/>
      <c r="N242" s="18"/>
      <c r="O242" s="18"/>
      <c r="P242" s="18"/>
      <c r="Q242" s="18"/>
      <c r="R242" s="18"/>
      <c r="S242"/>
    </row>
    <row r="243" spans="8:19" s="6" customFormat="1" ht="20.100000000000001" customHeight="1" x14ac:dyDescent="0.25">
      <c r="H243" s="56"/>
      <c r="I243" s="56"/>
      <c r="J243" s="56"/>
      <c r="K243" s="56"/>
      <c r="L243" s="56"/>
      <c r="M243" s="56"/>
      <c r="N243" s="18"/>
      <c r="O243" s="18"/>
      <c r="P243" s="18"/>
      <c r="Q243" s="18"/>
      <c r="R243" s="18"/>
      <c r="S243"/>
    </row>
    <row r="244" spans="8:19" s="6" customFormat="1" ht="20.100000000000001" customHeight="1" x14ac:dyDescent="0.25">
      <c r="H244" s="56"/>
      <c r="I244" s="56"/>
      <c r="J244" s="56"/>
      <c r="K244" s="56"/>
      <c r="L244" s="56"/>
      <c r="M244" s="56"/>
      <c r="N244" s="18"/>
      <c r="O244" s="18"/>
      <c r="P244" s="18"/>
      <c r="Q244" s="18"/>
      <c r="R244" s="18"/>
      <c r="S244"/>
    </row>
    <row r="245" spans="8:19" s="6" customFormat="1" ht="20.100000000000001" customHeight="1" x14ac:dyDescent="0.25">
      <c r="H245" s="56"/>
      <c r="I245" s="56"/>
      <c r="J245" s="56"/>
      <c r="K245" s="56"/>
      <c r="L245" s="56"/>
      <c r="M245" s="56"/>
      <c r="N245" s="18"/>
      <c r="O245" s="18"/>
      <c r="P245" s="18"/>
      <c r="Q245" s="18"/>
      <c r="R245" s="18"/>
      <c r="S245"/>
    </row>
    <row r="246" spans="8:19" s="6" customFormat="1" ht="20.100000000000001" customHeight="1" x14ac:dyDescent="0.25">
      <c r="H246" s="56"/>
      <c r="I246" s="56"/>
      <c r="J246" s="56"/>
      <c r="K246" s="56"/>
      <c r="L246" s="56"/>
      <c r="M246" s="56"/>
      <c r="N246" s="18"/>
      <c r="O246" s="18"/>
      <c r="P246" s="18"/>
      <c r="Q246" s="18"/>
      <c r="R246" s="18"/>
      <c r="S246"/>
    </row>
    <row r="247" spans="8:19" s="6" customFormat="1" ht="20.100000000000001" customHeight="1" x14ac:dyDescent="0.25">
      <c r="H247" s="56"/>
      <c r="I247" s="56"/>
      <c r="J247" s="56"/>
      <c r="K247" s="56"/>
      <c r="L247" s="56"/>
      <c r="M247" s="56"/>
      <c r="N247" s="18"/>
      <c r="O247" s="18"/>
      <c r="P247" s="18"/>
      <c r="Q247" s="18"/>
      <c r="R247" s="18"/>
      <c r="S247"/>
    </row>
    <row r="248" spans="8:19" s="6" customFormat="1" ht="20.100000000000001" customHeight="1" x14ac:dyDescent="0.25">
      <c r="H248" s="56"/>
      <c r="I248" s="56"/>
      <c r="J248" s="56"/>
      <c r="K248" s="56"/>
      <c r="L248" s="56"/>
      <c r="M248" s="56"/>
      <c r="N248" s="18"/>
      <c r="O248" s="18"/>
      <c r="P248" s="18"/>
      <c r="Q248" s="18"/>
      <c r="R248" s="18"/>
      <c r="S248"/>
    </row>
    <row r="249" spans="8:19" s="6" customFormat="1" ht="20.100000000000001" customHeight="1" x14ac:dyDescent="0.25">
      <c r="H249" s="56"/>
      <c r="I249" s="56"/>
      <c r="J249" s="56"/>
      <c r="K249" s="56"/>
      <c r="L249" s="56"/>
      <c r="M249" s="56"/>
      <c r="N249" s="18"/>
      <c r="O249" s="18"/>
      <c r="P249" s="18"/>
      <c r="Q249" s="18"/>
      <c r="R249" s="18"/>
      <c r="S249"/>
    </row>
    <row r="250" spans="8:19" s="6" customFormat="1" ht="20.100000000000001" customHeight="1" x14ac:dyDescent="0.25">
      <c r="H250" s="56"/>
      <c r="I250" s="56"/>
      <c r="J250" s="56"/>
      <c r="K250" s="56"/>
      <c r="L250" s="56"/>
      <c r="M250" s="56"/>
      <c r="N250" s="18"/>
      <c r="O250" s="18"/>
      <c r="P250" s="18"/>
      <c r="Q250" s="18"/>
      <c r="R250" s="18"/>
      <c r="S250"/>
    </row>
    <row r="251" spans="8:19" s="6" customFormat="1" ht="20.100000000000001" customHeight="1" x14ac:dyDescent="0.25">
      <c r="H251" s="56"/>
      <c r="I251" s="56"/>
      <c r="J251" s="56"/>
      <c r="K251" s="56"/>
      <c r="L251" s="56"/>
      <c r="M251" s="56"/>
      <c r="N251" s="18"/>
      <c r="O251" s="18"/>
      <c r="P251" s="18"/>
      <c r="Q251" s="18"/>
      <c r="R251" s="18"/>
      <c r="S251"/>
    </row>
    <row r="252" spans="8:19" s="6" customFormat="1" ht="20.100000000000001" customHeight="1" x14ac:dyDescent="0.25">
      <c r="H252" s="56"/>
      <c r="I252" s="56"/>
      <c r="J252" s="56"/>
      <c r="K252" s="56"/>
      <c r="L252" s="56"/>
      <c r="M252" s="56"/>
      <c r="N252" s="18"/>
      <c r="O252" s="18"/>
      <c r="P252" s="18"/>
      <c r="Q252" s="18"/>
      <c r="R252" s="18"/>
      <c r="S252"/>
    </row>
    <row r="253" spans="8:19" s="6" customFormat="1" ht="20.100000000000001" customHeight="1" x14ac:dyDescent="0.25">
      <c r="H253" s="56"/>
      <c r="I253" s="56"/>
      <c r="J253" s="56"/>
      <c r="K253" s="56"/>
      <c r="L253" s="56"/>
      <c r="M253" s="56"/>
      <c r="N253" s="18"/>
      <c r="O253" s="18"/>
      <c r="P253" s="18"/>
      <c r="Q253" s="18"/>
      <c r="R253" s="18"/>
      <c r="S253"/>
    </row>
    <row r="254" spans="8:19" s="6" customFormat="1" ht="20.100000000000001" customHeight="1" x14ac:dyDescent="0.25">
      <c r="H254" s="56"/>
      <c r="I254" s="56"/>
      <c r="J254" s="56"/>
      <c r="K254" s="56"/>
      <c r="L254" s="56"/>
      <c r="M254" s="56"/>
      <c r="N254" s="18"/>
      <c r="O254" s="18"/>
      <c r="P254" s="18"/>
      <c r="Q254" s="18"/>
      <c r="R254" s="18"/>
      <c r="S254"/>
    </row>
    <row r="255" spans="8:19" s="6" customFormat="1" ht="20.100000000000001" customHeight="1" x14ac:dyDescent="0.25">
      <c r="H255" s="56"/>
      <c r="I255" s="56"/>
      <c r="J255" s="56"/>
      <c r="K255" s="56"/>
      <c r="L255" s="56"/>
      <c r="M255" s="56"/>
      <c r="N255" s="18"/>
      <c r="O255" s="18"/>
      <c r="P255" s="18"/>
      <c r="Q255" s="18"/>
      <c r="R255" s="18"/>
      <c r="S255"/>
    </row>
    <row r="256" spans="8:19" s="6" customFormat="1" ht="20.100000000000001" customHeight="1" x14ac:dyDescent="0.25">
      <c r="H256" s="56"/>
      <c r="I256" s="56"/>
      <c r="J256" s="56"/>
      <c r="K256" s="56"/>
      <c r="L256" s="56"/>
      <c r="M256" s="56"/>
      <c r="N256" s="18"/>
      <c r="O256" s="18"/>
      <c r="P256" s="18"/>
      <c r="Q256" s="18"/>
      <c r="R256" s="18"/>
      <c r="S256"/>
    </row>
    <row r="257" spans="8:19" s="6" customFormat="1" ht="20.100000000000001" customHeight="1" x14ac:dyDescent="0.25">
      <c r="H257" s="56"/>
      <c r="I257" s="56"/>
      <c r="J257" s="56"/>
      <c r="K257" s="56"/>
      <c r="L257" s="56"/>
      <c r="M257" s="56"/>
      <c r="N257" s="18"/>
      <c r="O257" s="18"/>
      <c r="P257" s="18"/>
      <c r="Q257" s="18"/>
      <c r="R257" s="18"/>
      <c r="S257"/>
    </row>
    <row r="258" spans="8:19" s="6" customFormat="1" ht="20.100000000000001" customHeight="1" x14ac:dyDescent="0.25">
      <c r="H258" s="56"/>
      <c r="I258" s="56"/>
      <c r="J258" s="56"/>
      <c r="K258" s="56"/>
      <c r="L258" s="56"/>
      <c r="M258" s="56"/>
      <c r="N258" s="18"/>
      <c r="O258" s="18"/>
      <c r="P258" s="18"/>
      <c r="Q258" s="18"/>
      <c r="R258" s="18"/>
      <c r="S258"/>
    </row>
    <row r="259" spans="8:19" s="6" customFormat="1" ht="20.100000000000001" customHeight="1" x14ac:dyDescent="0.25">
      <c r="H259" s="56"/>
      <c r="I259" s="56"/>
      <c r="J259" s="56"/>
      <c r="K259" s="56"/>
      <c r="L259" s="56"/>
      <c r="M259" s="56"/>
      <c r="N259" s="18"/>
      <c r="O259" s="18"/>
      <c r="P259" s="18"/>
      <c r="Q259" s="18"/>
      <c r="R259" s="18"/>
      <c r="S259"/>
    </row>
    <row r="260" spans="8:19" s="6" customFormat="1" ht="20.100000000000001" customHeight="1" x14ac:dyDescent="0.25">
      <c r="H260" s="56"/>
      <c r="I260" s="56"/>
      <c r="J260" s="56"/>
      <c r="K260" s="56"/>
      <c r="L260" s="56"/>
      <c r="M260" s="56"/>
      <c r="N260" s="18"/>
      <c r="O260" s="18"/>
      <c r="P260" s="18"/>
      <c r="Q260" s="18"/>
      <c r="R260" s="18"/>
      <c r="S260"/>
    </row>
    <row r="261" spans="8:19" s="6" customFormat="1" ht="20.100000000000001" customHeight="1" x14ac:dyDescent="0.25">
      <c r="H261" s="56"/>
      <c r="I261" s="56"/>
      <c r="J261" s="56"/>
      <c r="K261" s="56"/>
      <c r="L261" s="56"/>
      <c r="M261" s="56"/>
      <c r="N261" s="18"/>
      <c r="O261" s="18"/>
      <c r="P261" s="18"/>
      <c r="Q261" s="18"/>
      <c r="R261" s="18"/>
      <c r="S261"/>
    </row>
    <row r="262" spans="8:19" s="6" customFormat="1" ht="20.100000000000001" customHeight="1" x14ac:dyDescent="0.25">
      <c r="H262" s="56"/>
      <c r="I262" s="56"/>
      <c r="J262" s="56"/>
      <c r="K262" s="56"/>
      <c r="L262" s="56"/>
      <c r="M262" s="56"/>
      <c r="N262" s="18"/>
      <c r="O262" s="18"/>
      <c r="P262" s="18"/>
      <c r="Q262" s="18"/>
      <c r="R262" s="18"/>
      <c r="S262"/>
    </row>
    <row r="263" spans="8:19" s="6" customFormat="1" ht="20.100000000000001" customHeight="1" x14ac:dyDescent="0.25">
      <c r="H263" s="56"/>
      <c r="I263" s="56"/>
      <c r="J263" s="56"/>
      <c r="K263" s="56"/>
      <c r="L263" s="56"/>
      <c r="M263" s="56"/>
      <c r="N263" s="18"/>
      <c r="O263" s="18"/>
      <c r="P263" s="18"/>
      <c r="Q263" s="18"/>
      <c r="R263" s="18"/>
      <c r="S263"/>
    </row>
    <row r="264" spans="8:19" s="6" customFormat="1" ht="20.100000000000001" customHeight="1" x14ac:dyDescent="0.25">
      <c r="H264" s="56"/>
      <c r="I264" s="56"/>
      <c r="J264" s="56"/>
      <c r="K264" s="56"/>
      <c r="L264" s="56"/>
      <c r="M264" s="56"/>
      <c r="N264" s="18"/>
      <c r="O264" s="18"/>
      <c r="P264" s="18"/>
      <c r="Q264" s="18"/>
      <c r="R264" s="18"/>
      <c r="S264"/>
    </row>
    <row r="265" spans="8:19" s="6" customFormat="1" ht="20.100000000000001" customHeight="1" x14ac:dyDescent="0.25">
      <c r="H265" s="56"/>
      <c r="I265" s="56"/>
      <c r="J265" s="56"/>
      <c r="K265" s="56"/>
      <c r="L265" s="56"/>
      <c r="M265" s="56"/>
      <c r="N265" s="18"/>
      <c r="O265" s="18"/>
      <c r="P265" s="18"/>
      <c r="Q265" s="18"/>
      <c r="R265" s="18"/>
      <c r="S265"/>
    </row>
    <row r="266" spans="8:19" s="6" customFormat="1" ht="20.100000000000001" customHeight="1" x14ac:dyDescent="0.25">
      <c r="H266" s="56"/>
      <c r="I266" s="56"/>
      <c r="J266" s="56"/>
      <c r="K266" s="56"/>
      <c r="L266" s="56"/>
      <c r="M266" s="56"/>
      <c r="N266" s="18"/>
      <c r="O266" s="18"/>
      <c r="P266" s="18"/>
      <c r="Q266" s="18"/>
      <c r="R266" s="18"/>
      <c r="S266"/>
    </row>
    <row r="267" spans="8:19" s="6" customFormat="1" ht="20.100000000000001" customHeight="1" x14ac:dyDescent="0.25">
      <c r="H267" s="56"/>
      <c r="I267" s="56"/>
      <c r="J267" s="56"/>
      <c r="K267" s="56"/>
      <c r="L267" s="56"/>
      <c r="M267" s="56"/>
      <c r="N267" s="18"/>
      <c r="O267" s="18"/>
      <c r="P267" s="18"/>
      <c r="Q267" s="18"/>
      <c r="R267" s="18"/>
      <c r="S267"/>
    </row>
    <row r="268" spans="8:19" s="6" customFormat="1" ht="20.100000000000001" customHeight="1" x14ac:dyDescent="0.25">
      <c r="H268" s="56"/>
      <c r="I268" s="56"/>
      <c r="J268" s="56"/>
      <c r="K268" s="56"/>
      <c r="L268" s="56"/>
      <c r="M268" s="56"/>
      <c r="N268" s="18"/>
      <c r="O268" s="18"/>
      <c r="P268" s="18"/>
      <c r="Q268" s="18"/>
      <c r="R268" s="18"/>
      <c r="S268"/>
    </row>
    <row r="269" spans="8:19" s="6" customFormat="1" ht="20.100000000000001" customHeight="1" x14ac:dyDescent="0.25">
      <c r="H269" s="56"/>
      <c r="I269" s="56"/>
      <c r="J269" s="56"/>
      <c r="K269" s="56"/>
      <c r="L269" s="56"/>
      <c r="M269" s="56"/>
      <c r="N269" s="18"/>
      <c r="O269" s="18"/>
      <c r="P269" s="18"/>
      <c r="Q269" s="18"/>
      <c r="R269" s="18"/>
      <c r="S269"/>
    </row>
    <row r="270" spans="8:19" s="6" customFormat="1" ht="20.100000000000001" customHeight="1" x14ac:dyDescent="0.25">
      <c r="H270" s="56"/>
      <c r="I270" s="56"/>
      <c r="J270" s="56"/>
      <c r="K270" s="56"/>
      <c r="L270" s="56"/>
      <c r="M270" s="56"/>
      <c r="N270" s="18"/>
      <c r="O270" s="18"/>
      <c r="P270" s="18"/>
      <c r="Q270" s="18"/>
      <c r="R270" s="18"/>
      <c r="S270"/>
    </row>
    <row r="271" spans="8:19" s="6" customFormat="1" ht="20.100000000000001" customHeight="1" x14ac:dyDescent="0.25">
      <c r="H271" s="56"/>
      <c r="I271" s="56"/>
      <c r="J271" s="56"/>
      <c r="K271" s="56"/>
      <c r="L271" s="56"/>
      <c r="M271" s="56"/>
      <c r="N271" s="18"/>
      <c r="O271" s="18"/>
      <c r="P271" s="18"/>
      <c r="Q271" s="18"/>
      <c r="R271" s="18"/>
      <c r="S271"/>
    </row>
    <row r="272" spans="8:19" s="6" customFormat="1" ht="20.100000000000001" customHeight="1" x14ac:dyDescent="0.25">
      <c r="H272" s="56"/>
      <c r="I272" s="56"/>
      <c r="J272" s="56"/>
      <c r="K272" s="56"/>
      <c r="L272" s="56"/>
      <c r="M272" s="56"/>
      <c r="N272" s="18"/>
      <c r="O272" s="18"/>
      <c r="P272" s="18"/>
      <c r="Q272" s="18"/>
      <c r="R272" s="18"/>
      <c r="S272"/>
    </row>
    <row r="273" spans="8:19" s="6" customFormat="1" ht="20.100000000000001" customHeight="1" x14ac:dyDescent="0.25">
      <c r="H273" s="56"/>
      <c r="I273" s="56"/>
      <c r="J273" s="56"/>
      <c r="K273" s="56"/>
      <c r="L273" s="56"/>
      <c r="M273" s="56"/>
      <c r="N273" s="18"/>
      <c r="O273" s="18"/>
      <c r="P273" s="18"/>
      <c r="Q273" s="18"/>
      <c r="R273" s="18"/>
      <c r="S273"/>
    </row>
    <row r="274" spans="8:19" s="6" customFormat="1" ht="20.100000000000001" customHeight="1" x14ac:dyDescent="0.25">
      <c r="H274" s="56"/>
      <c r="I274" s="56"/>
      <c r="J274" s="56"/>
      <c r="K274" s="56"/>
      <c r="L274" s="56"/>
      <c r="M274" s="56"/>
      <c r="N274" s="18"/>
      <c r="O274" s="18"/>
      <c r="P274" s="18"/>
      <c r="Q274" s="18"/>
      <c r="R274" s="18"/>
      <c r="S274"/>
    </row>
    <row r="275" spans="8:19" s="6" customFormat="1" ht="20.100000000000001" customHeight="1" x14ac:dyDescent="0.25">
      <c r="H275" s="56"/>
      <c r="I275" s="56"/>
      <c r="J275" s="56"/>
      <c r="K275" s="56"/>
      <c r="L275" s="56"/>
      <c r="M275" s="56"/>
      <c r="N275" s="18"/>
      <c r="O275" s="18"/>
      <c r="P275" s="18"/>
      <c r="Q275" s="18"/>
      <c r="R275" s="18"/>
      <c r="S275"/>
    </row>
    <row r="276" spans="8:19" s="6" customFormat="1" ht="20.100000000000001" customHeight="1" x14ac:dyDescent="0.25">
      <c r="H276" s="56"/>
      <c r="I276" s="56"/>
      <c r="J276" s="56"/>
      <c r="K276" s="56"/>
      <c r="L276" s="56"/>
      <c r="M276" s="56"/>
      <c r="N276" s="18"/>
      <c r="O276" s="18"/>
      <c r="P276" s="18"/>
      <c r="Q276" s="18"/>
      <c r="R276" s="18"/>
      <c r="S276"/>
    </row>
    <row r="277" spans="8:19" s="6" customFormat="1" ht="20.100000000000001" customHeight="1" x14ac:dyDescent="0.25">
      <c r="H277" s="56"/>
      <c r="I277" s="56"/>
      <c r="J277" s="56"/>
      <c r="K277" s="56"/>
      <c r="L277" s="56"/>
      <c r="M277" s="56"/>
      <c r="N277" s="18"/>
      <c r="O277" s="18"/>
      <c r="P277" s="18"/>
      <c r="Q277" s="18"/>
      <c r="R277" s="18"/>
      <c r="S277"/>
    </row>
    <row r="278" spans="8:19" s="6" customFormat="1" ht="20.100000000000001" customHeight="1" x14ac:dyDescent="0.25">
      <c r="H278" s="56"/>
      <c r="I278" s="56"/>
      <c r="J278" s="56"/>
      <c r="K278" s="56"/>
      <c r="L278" s="56"/>
      <c r="M278" s="56"/>
      <c r="N278" s="18"/>
      <c r="O278" s="18"/>
      <c r="P278" s="18"/>
      <c r="Q278" s="18"/>
      <c r="R278" s="18"/>
      <c r="S278"/>
    </row>
    <row r="279" spans="8:19" s="6" customFormat="1" ht="20.100000000000001" customHeight="1" x14ac:dyDescent="0.25">
      <c r="H279" s="56"/>
      <c r="I279" s="56"/>
      <c r="J279" s="56"/>
      <c r="K279" s="56"/>
      <c r="L279" s="56"/>
      <c r="M279" s="56"/>
      <c r="N279" s="18"/>
      <c r="O279" s="18"/>
      <c r="P279" s="18"/>
      <c r="Q279" s="18"/>
      <c r="R279" s="18"/>
      <c r="S279"/>
    </row>
    <row r="280" spans="8:19" s="6" customFormat="1" ht="20.100000000000001" customHeight="1" x14ac:dyDescent="0.25">
      <c r="H280" s="56"/>
      <c r="I280" s="56"/>
      <c r="J280" s="56"/>
      <c r="K280" s="56"/>
      <c r="L280" s="56"/>
      <c r="M280" s="56"/>
      <c r="N280" s="18"/>
      <c r="O280" s="18"/>
      <c r="P280" s="18"/>
      <c r="Q280" s="18"/>
      <c r="R280" s="18"/>
      <c r="S280"/>
    </row>
    <row r="281" spans="8:19" s="6" customFormat="1" ht="20.100000000000001" customHeight="1" x14ac:dyDescent="0.25">
      <c r="H281" s="56"/>
      <c r="I281" s="56"/>
      <c r="J281" s="56"/>
      <c r="K281" s="56"/>
      <c r="L281" s="56"/>
      <c r="M281" s="56"/>
      <c r="N281" s="18"/>
      <c r="O281" s="18"/>
      <c r="P281" s="18"/>
      <c r="Q281" s="18"/>
      <c r="R281" s="18"/>
      <c r="S281"/>
    </row>
    <row r="282" spans="8:19" s="6" customFormat="1" ht="20.100000000000001" customHeight="1" x14ac:dyDescent="0.25">
      <c r="H282" s="56"/>
      <c r="I282" s="56"/>
      <c r="J282" s="56"/>
      <c r="K282" s="56"/>
      <c r="L282" s="56"/>
      <c r="M282" s="56"/>
      <c r="N282" s="18"/>
      <c r="O282" s="18"/>
      <c r="P282" s="18"/>
      <c r="Q282" s="18"/>
      <c r="R282" s="18"/>
      <c r="S282"/>
    </row>
    <row r="283" spans="8:19" s="6" customFormat="1" ht="20.100000000000001" customHeight="1" x14ac:dyDescent="0.25">
      <c r="H283" s="56"/>
      <c r="I283" s="56"/>
      <c r="J283" s="56"/>
      <c r="K283" s="56"/>
      <c r="L283" s="56"/>
      <c r="M283" s="56"/>
      <c r="N283" s="18"/>
      <c r="O283" s="18"/>
      <c r="P283" s="18"/>
      <c r="Q283" s="18"/>
      <c r="R283" s="18"/>
      <c r="S283"/>
    </row>
    <row r="284" spans="8:19" s="6" customFormat="1" ht="20.100000000000001" customHeight="1" x14ac:dyDescent="0.25">
      <c r="H284" s="56"/>
      <c r="I284" s="56"/>
      <c r="J284" s="56"/>
      <c r="K284" s="56"/>
      <c r="L284" s="56"/>
      <c r="M284" s="56"/>
      <c r="N284" s="18"/>
      <c r="O284" s="18"/>
      <c r="P284" s="18"/>
      <c r="Q284" s="18"/>
      <c r="R284" s="18"/>
      <c r="S284"/>
    </row>
    <row r="285" spans="8:19" s="6" customFormat="1" ht="20.100000000000001" customHeight="1" x14ac:dyDescent="0.25">
      <c r="H285" s="56"/>
      <c r="I285" s="56"/>
      <c r="J285" s="56"/>
      <c r="K285" s="56"/>
      <c r="L285" s="56"/>
      <c r="M285" s="56"/>
      <c r="N285" s="18"/>
      <c r="O285" s="18"/>
      <c r="P285" s="18"/>
      <c r="Q285" s="18"/>
      <c r="R285" s="18"/>
      <c r="S285"/>
    </row>
    <row r="286" spans="8:19" s="6" customFormat="1" ht="20.100000000000001" customHeight="1" x14ac:dyDescent="0.25">
      <c r="H286" s="56"/>
      <c r="I286" s="56"/>
      <c r="J286" s="56"/>
      <c r="K286" s="56"/>
      <c r="L286" s="56"/>
      <c r="M286" s="56"/>
      <c r="N286" s="18"/>
      <c r="O286" s="18"/>
      <c r="P286" s="18"/>
      <c r="Q286" s="18"/>
      <c r="R286" s="18"/>
      <c r="S286"/>
    </row>
    <row r="287" spans="8:19" s="6" customFormat="1" ht="20.100000000000001" customHeight="1" x14ac:dyDescent="0.25">
      <c r="H287" s="56"/>
      <c r="I287" s="56"/>
      <c r="J287" s="56"/>
      <c r="K287" s="56"/>
      <c r="L287" s="56"/>
      <c r="M287" s="56"/>
      <c r="N287" s="18"/>
      <c r="O287" s="18"/>
      <c r="P287" s="18"/>
      <c r="Q287" s="18"/>
      <c r="R287" s="18"/>
      <c r="S287"/>
    </row>
    <row r="288" spans="8:19" s="6" customFormat="1" ht="20.100000000000001" customHeight="1" x14ac:dyDescent="0.25">
      <c r="H288" s="56"/>
      <c r="I288" s="56"/>
      <c r="J288" s="56"/>
      <c r="K288" s="56"/>
      <c r="L288" s="56"/>
      <c r="M288" s="56"/>
      <c r="N288" s="18"/>
      <c r="O288" s="18"/>
      <c r="P288" s="18"/>
      <c r="Q288" s="18"/>
      <c r="R288" s="18"/>
      <c r="S288"/>
    </row>
    <row r="289" spans="8:19" s="6" customFormat="1" ht="20.100000000000001" customHeight="1" x14ac:dyDescent="0.25">
      <c r="H289" s="56"/>
      <c r="I289" s="56"/>
      <c r="J289" s="56"/>
      <c r="K289" s="56"/>
      <c r="L289" s="56"/>
      <c r="M289" s="56"/>
      <c r="N289" s="18"/>
      <c r="O289" s="18"/>
      <c r="P289" s="18"/>
      <c r="Q289" s="18"/>
      <c r="R289" s="18"/>
      <c r="S289"/>
    </row>
    <row r="290" spans="8:19" s="6" customFormat="1" ht="20.100000000000001" customHeight="1" x14ac:dyDescent="0.25">
      <c r="H290" s="56"/>
      <c r="I290" s="56"/>
      <c r="J290" s="56"/>
      <c r="K290" s="56"/>
      <c r="L290" s="56"/>
      <c r="M290" s="56"/>
      <c r="N290" s="18"/>
      <c r="O290" s="18"/>
      <c r="P290" s="18"/>
      <c r="Q290" s="18"/>
      <c r="R290" s="18"/>
      <c r="S290"/>
    </row>
    <row r="291" spans="8:19" s="6" customFormat="1" ht="20.100000000000001" customHeight="1" x14ac:dyDescent="0.25">
      <c r="H291" s="56"/>
      <c r="I291" s="56"/>
      <c r="J291" s="56"/>
      <c r="K291" s="56"/>
      <c r="L291" s="56"/>
      <c r="M291" s="56"/>
      <c r="N291" s="18"/>
      <c r="O291" s="18"/>
      <c r="P291" s="18"/>
      <c r="Q291" s="18"/>
      <c r="R291" s="18"/>
      <c r="S291"/>
    </row>
    <row r="292" spans="8:19" s="6" customFormat="1" ht="20.100000000000001" customHeight="1" x14ac:dyDescent="0.25">
      <c r="H292" s="56"/>
      <c r="I292" s="56"/>
      <c r="J292" s="56"/>
      <c r="K292" s="56"/>
      <c r="L292" s="56"/>
      <c r="M292" s="56"/>
      <c r="N292" s="18"/>
      <c r="O292" s="18"/>
      <c r="P292" s="18"/>
      <c r="Q292" s="18"/>
      <c r="R292" s="18"/>
      <c r="S292"/>
    </row>
    <row r="293" spans="8:19" s="6" customFormat="1" ht="20.100000000000001" customHeight="1" x14ac:dyDescent="0.25">
      <c r="H293" s="56"/>
      <c r="I293" s="56"/>
      <c r="J293" s="56"/>
      <c r="K293" s="56"/>
      <c r="L293" s="56"/>
      <c r="M293" s="56"/>
      <c r="N293" s="18"/>
      <c r="O293" s="18"/>
      <c r="P293" s="18"/>
      <c r="Q293" s="18"/>
      <c r="R293" s="18"/>
      <c r="S293"/>
    </row>
    <row r="294" spans="8:19" s="6" customFormat="1" ht="20.100000000000001" customHeight="1" x14ac:dyDescent="0.25">
      <c r="H294" s="56"/>
      <c r="I294" s="56"/>
      <c r="J294" s="56"/>
      <c r="K294" s="56"/>
      <c r="L294" s="56"/>
      <c r="M294" s="56"/>
      <c r="N294" s="18"/>
      <c r="O294" s="18"/>
      <c r="P294" s="18"/>
      <c r="Q294" s="18"/>
      <c r="R294" s="18"/>
      <c r="S294"/>
    </row>
    <row r="295" spans="8:19" s="6" customFormat="1" ht="20.100000000000001" customHeight="1" x14ac:dyDescent="0.25">
      <c r="H295" s="56"/>
      <c r="I295" s="56"/>
      <c r="J295" s="56"/>
      <c r="K295" s="56"/>
      <c r="L295" s="56"/>
      <c r="M295" s="56"/>
      <c r="N295" s="18"/>
      <c r="O295" s="18"/>
      <c r="P295" s="18"/>
      <c r="Q295" s="18"/>
      <c r="R295" s="18"/>
      <c r="S295"/>
    </row>
    <row r="296" spans="8:19" s="6" customFormat="1" ht="20.100000000000001" customHeight="1" x14ac:dyDescent="0.25">
      <c r="H296" s="56"/>
      <c r="I296" s="56"/>
      <c r="J296" s="56"/>
      <c r="K296" s="56"/>
      <c r="L296" s="56"/>
      <c r="M296" s="56"/>
      <c r="N296" s="18"/>
      <c r="O296" s="18"/>
      <c r="P296" s="18"/>
      <c r="Q296" s="18"/>
      <c r="R296" s="18"/>
      <c r="S296"/>
    </row>
    <row r="297" spans="8:19" s="6" customFormat="1" ht="20.100000000000001" customHeight="1" x14ac:dyDescent="0.25">
      <c r="H297" s="56"/>
      <c r="I297" s="56"/>
      <c r="J297" s="56"/>
      <c r="K297" s="56"/>
      <c r="L297" s="56"/>
      <c r="M297" s="56"/>
      <c r="N297" s="18"/>
      <c r="O297" s="18"/>
      <c r="P297" s="18"/>
      <c r="Q297" s="18"/>
      <c r="R297" s="18"/>
      <c r="S297"/>
    </row>
    <row r="298" spans="8:19" s="6" customFormat="1" ht="20.100000000000001" customHeight="1" x14ac:dyDescent="0.25">
      <c r="H298" s="56"/>
      <c r="I298" s="56"/>
      <c r="J298" s="56"/>
      <c r="K298" s="56"/>
      <c r="L298" s="56"/>
      <c r="M298" s="56"/>
      <c r="N298" s="18"/>
      <c r="O298" s="18"/>
      <c r="P298" s="18"/>
      <c r="Q298" s="18"/>
      <c r="R298" s="18"/>
      <c r="S298"/>
    </row>
    <row r="299" spans="8:19" s="6" customFormat="1" ht="20.100000000000001" customHeight="1" x14ac:dyDescent="0.25">
      <c r="H299" s="56"/>
      <c r="I299" s="56"/>
      <c r="J299" s="56"/>
      <c r="K299" s="56"/>
      <c r="L299" s="56"/>
      <c r="M299" s="56"/>
      <c r="N299" s="18"/>
      <c r="O299" s="18"/>
      <c r="P299" s="18"/>
      <c r="Q299" s="18"/>
      <c r="R299" s="18"/>
      <c r="S299"/>
    </row>
    <row r="300" spans="8:19" s="6" customFormat="1" ht="20.100000000000001" customHeight="1" x14ac:dyDescent="0.25">
      <c r="H300" s="56"/>
      <c r="I300" s="56"/>
      <c r="J300" s="56"/>
      <c r="K300" s="56"/>
      <c r="L300" s="56"/>
      <c r="M300" s="56"/>
      <c r="N300" s="18"/>
      <c r="O300" s="18"/>
      <c r="P300" s="18"/>
      <c r="Q300" s="18"/>
      <c r="R300" s="18"/>
      <c r="S300"/>
    </row>
    <row r="301" spans="8:19" s="6" customFormat="1" ht="20.100000000000001" customHeight="1" x14ac:dyDescent="0.25">
      <c r="H301" s="56"/>
      <c r="I301" s="56"/>
      <c r="J301" s="56"/>
      <c r="K301" s="56"/>
      <c r="L301" s="56"/>
      <c r="M301" s="56"/>
      <c r="N301" s="18"/>
      <c r="O301" s="18"/>
      <c r="P301" s="18"/>
      <c r="Q301" s="18"/>
      <c r="R301" s="18"/>
      <c r="S301"/>
    </row>
    <row r="302" spans="8:19" s="6" customFormat="1" ht="20.100000000000001" customHeight="1" x14ac:dyDescent="0.25">
      <c r="H302" s="56"/>
      <c r="I302" s="56"/>
      <c r="J302" s="56"/>
      <c r="K302" s="56"/>
      <c r="L302" s="56"/>
      <c r="M302" s="56"/>
      <c r="N302" s="18"/>
      <c r="O302" s="18"/>
      <c r="P302" s="18"/>
      <c r="Q302" s="18"/>
      <c r="R302" s="18"/>
      <c r="S302"/>
    </row>
    <row r="303" spans="8:19" s="6" customFormat="1" ht="20.100000000000001" customHeight="1" x14ac:dyDescent="0.25">
      <c r="H303" s="56"/>
      <c r="I303" s="56"/>
      <c r="J303" s="56"/>
      <c r="K303" s="56"/>
      <c r="L303" s="56"/>
      <c r="M303" s="56"/>
      <c r="N303" s="18"/>
      <c r="O303" s="18"/>
      <c r="P303" s="18"/>
      <c r="Q303" s="18"/>
      <c r="R303" s="18"/>
      <c r="S303"/>
    </row>
    <row r="304" spans="8:19" s="6" customFormat="1" ht="20.100000000000001" customHeight="1" x14ac:dyDescent="0.25">
      <c r="H304" s="56"/>
      <c r="I304" s="56"/>
      <c r="J304" s="56"/>
      <c r="K304" s="56"/>
      <c r="L304" s="56"/>
      <c r="M304" s="56"/>
      <c r="N304" s="18"/>
      <c r="O304" s="18"/>
      <c r="P304" s="18"/>
      <c r="Q304" s="18"/>
      <c r="R304" s="18"/>
      <c r="S304"/>
    </row>
    <row r="305" spans="8:19" s="6" customFormat="1" ht="20.100000000000001" customHeight="1" x14ac:dyDescent="0.25">
      <c r="H305" s="56"/>
      <c r="I305" s="56"/>
      <c r="J305" s="56"/>
      <c r="K305" s="56"/>
      <c r="L305" s="56"/>
      <c r="M305" s="56"/>
      <c r="N305" s="18"/>
      <c r="O305" s="18"/>
      <c r="P305" s="18"/>
      <c r="Q305" s="18"/>
      <c r="R305" s="18"/>
      <c r="S305"/>
    </row>
    <row r="306" spans="8:19" s="6" customFormat="1" ht="20.100000000000001" customHeight="1" x14ac:dyDescent="0.25">
      <c r="H306" s="56"/>
      <c r="I306" s="56"/>
      <c r="J306" s="56"/>
      <c r="K306" s="56"/>
      <c r="L306" s="56"/>
      <c r="M306" s="56"/>
      <c r="N306" s="18"/>
      <c r="O306" s="18"/>
      <c r="P306" s="18"/>
      <c r="Q306" s="18"/>
      <c r="R306" s="18"/>
      <c r="S306"/>
    </row>
    <row r="307" spans="8:19" s="6" customFormat="1" ht="20.100000000000001" customHeight="1" x14ac:dyDescent="0.25">
      <c r="H307" s="56"/>
      <c r="I307" s="56"/>
      <c r="J307" s="56"/>
      <c r="K307" s="56"/>
      <c r="L307" s="56"/>
      <c r="M307" s="56"/>
      <c r="N307" s="18"/>
      <c r="O307" s="18"/>
      <c r="P307" s="18"/>
      <c r="Q307" s="18"/>
      <c r="R307" s="18"/>
      <c r="S307"/>
    </row>
    <row r="308" spans="8:19" s="6" customFormat="1" ht="20.100000000000001" customHeight="1" x14ac:dyDescent="0.25">
      <c r="H308" s="56"/>
      <c r="I308" s="56"/>
      <c r="J308" s="56"/>
      <c r="K308" s="56"/>
      <c r="L308" s="56"/>
      <c r="M308" s="56"/>
      <c r="N308" s="18"/>
      <c r="O308" s="18"/>
      <c r="P308" s="18"/>
      <c r="Q308" s="18"/>
      <c r="R308" s="18"/>
      <c r="S308"/>
    </row>
    <row r="309" spans="8:19" s="6" customFormat="1" ht="20.100000000000001" customHeight="1" x14ac:dyDescent="0.25">
      <c r="H309" s="56"/>
      <c r="I309" s="56"/>
      <c r="J309" s="56"/>
      <c r="K309" s="56"/>
      <c r="L309" s="56"/>
      <c r="M309" s="56"/>
      <c r="N309" s="18"/>
      <c r="O309" s="18"/>
      <c r="P309" s="18"/>
      <c r="Q309" s="18"/>
      <c r="R309" s="18"/>
      <c r="S309"/>
    </row>
    <row r="310" spans="8:19" s="6" customFormat="1" ht="20.100000000000001" customHeight="1" x14ac:dyDescent="0.25">
      <c r="H310" s="56"/>
      <c r="I310" s="56"/>
      <c r="J310" s="56"/>
      <c r="K310" s="56"/>
      <c r="L310" s="56"/>
      <c r="M310" s="56"/>
      <c r="N310" s="18"/>
      <c r="O310" s="18"/>
      <c r="P310" s="18"/>
      <c r="Q310" s="18"/>
      <c r="R310" s="18"/>
      <c r="S310"/>
    </row>
    <row r="311" spans="8:19" s="6" customFormat="1" ht="20.100000000000001" customHeight="1" x14ac:dyDescent="0.25">
      <c r="H311" s="56"/>
      <c r="I311" s="56"/>
      <c r="J311" s="56"/>
      <c r="K311" s="56"/>
      <c r="L311" s="56"/>
      <c r="M311" s="56"/>
      <c r="N311" s="18"/>
      <c r="O311" s="18"/>
      <c r="P311" s="18"/>
      <c r="Q311" s="18"/>
      <c r="R311" s="18"/>
      <c r="S311"/>
    </row>
    <row r="312" spans="8:19" s="6" customFormat="1" ht="20.100000000000001" customHeight="1" x14ac:dyDescent="0.25">
      <c r="H312" s="56"/>
      <c r="I312" s="56"/>
      <c r="J312" s="56"/>
      <c r="K312" s="56"/>
      <c r="L312" s="56"/>
      <c r="M312" s="56"/>
      <c r="N312" s="18"/>
      <c r="O312" s="18"/>
      <c r="P312" s="18"/>
      <c r="Q312" s="18"/>
      <c r="R312" s="18"/>
      <c r="S312"/>
    </row>
    <row r="313" spans="8:19" s="6" customFormat="1" ht="20.100000000000001" customHeight="1" x14ac:dyDescent="0.25">
      <c r="H313" s="56"/>
      <c r="I313" s="56"/>
      <c r="J313" s="56"/>
      <c r="K313" s="56"/>
      <c r="L313" s="56"/>
      <c r="M313" s="56"/>
      <c r="N313" s="18"/>
      <c r="O313" s="18"/>
      <c r="P313" s="18"/>
      <c r="Q313" s="18"/>
      <c r="R313" s="18"/>
      <c r="S313"/>
    </row>
    <row r="314" spans="8:19" s="6" customFormat="1" ht="20.100000000000001" customHeight="1" x14ac:dyDescent="0.25">
      <c r="H314" s="56"/>
      <c r="I314" s="56"/>
      <c r="J314" s="56"/>
      <c r="K314" s="56"/>
      <c r="L314" s="56"/>
      <c r="M314" s="56"/>
      <c r="N314" s="18"/>
      <c r="O314" s="18"/>
      <c r="P314" s="18"/>
      <c r="Q314" s="18"/>
      <c r="R314" s="18"/>
      <c r="S314"/>
    </row>
    <row r="315" spans="8:19" s="6" customFormat="1" ht="20.100000000000001" customHeight="1" x14ac:dyDescent="0.25">
      <c r="H315" s="56"/>
      <c r="I315" s="56"/>
      <c r="J315" s="56"/>
      <c r="K315" s="56"/>
      <c r="L315" s="56"/>
      <c r="M315" s="56"/>
      <c r="N315" s="18"/>
      <c r="O315" s="18"/>
      <c r="P315" s="18"/>
      <c r="Q315" s="18"/>
      <c r="R315" s="18"/>
      <c r="S315"/>
    </row>
    <row r="316" spans="8:19" s="6" customFormat="1" ht="20.100000000000001" customHeight="1" x14ac:dyDescent="0.25">
      <c r="H316" s="56"/>
      <c r="I316" s="56"/>
      <c r="J316" s="56"/>
      <c r="K316" s="56"/>
      <c r="L316" s="56"/>
      <c r="M316" s="56"/>
      <c r="N316" s="18"/>
      <c r="O316" s="18"/>
      <c r="P316" s="18"/>
      <c r="Q316" s="18"/>
      <c r="R316" s="18"/>
      <c r="S316"/>
    </row>
    <row r="317" spans="8:19" s="6" customFormat="1" ht="20.100000000000001" customHeight="1" x14ac:dyDescent="0.25">
      <c r="H317" s="56"/>
      <c r="I317" s="56"/>
      <c r="J317" s="56"/>
      <c r="K317" s="56"/>
      <c r="L317" s="56"/>
      <c r="M317" s="56"/>
      <c r="N317" s="18"/>
      <c r="O317" s="18"/>
      <c r="P317" s="18"/>
      <c r="Q317" s="18"/>
      <c r="R317" s="18"/>
      <c r="S317"/>
    </row>
    <row r="318" spans="8:19" s="6" customFormat="1" ht="20.100000000000001" customHeight="1" x14ac:dyDescent="0.25">
      <c r="H318" s="56"/>
      <c r="I318" s="56"/>
      <c r="J318" s="56"/>
      <c r="K318" s="56"/>
      <c r="L318" s="56"/>
      <c r="M318" s="56"/>
      <c r="N318" s="18"/>
      <c r="O318" s="18"/>
      <c r="P318" s="18"/>
      <c r="Q318" s="18"/>
      <c r="R318" s="18"/>
      <c r="S318"/>
    </row>
    <row r="319" spans="8:19" s="6" customFormat="1" ht="20.100000000000001" customHeight="1" x14ac:dyDescent="0.25">
      <c r="H319" s="56"/>
      <c r="I319" s="56"/>
      <c r="J319" s="56"/>
      <c r="K319" s="56"/>
      <c r="L319" s="56"/>
      <c r="M319" s="56"/>
      <c r="N319" s="18"/>
      <c r="O319" s="18"/>
      <c r="P319" s="18"/>
      <c r="Q319" s="18"/>
      <c r="R319" s="18"/>
      <c r="S319"/>
    </row>
    <row r="320" spans="8:19" s="6" customFormat="1" ht="20.100000000000001" customHeight="1" x14ac:dyDescent="0.25">
      <c r="H320" s="56"/>
      <c r="I320" s="56"/>
      <c r="J320" s="56"/>
      <c r="K320" s="56"/>
      <c r="L320" s="56"/>
      <c r="M320" s="56"/>
      <c r="N320" s="18"/>
      <c r="O320" s="18"/>
      <c r="P320" s="18"/>
      <c r="Q320" s="18"/>
      <c r="R320" s="18"/>
      <c r="S320"/>
    </row>
    <row r="321" spans="8:19" s="6" customFormat="1" ht="20.100000000000001" customHeight="1" x14ac:dyDescent="0.25">
      <c r="H321" s="56"/>
      <c r="I321" s="56"/>
      <c r="J321" s="56"/>
      <c r="K321" s="56"/>
      <c r="L321" s="56"/>
      <c r="M321" s="56"/>
      <c r="N321" s="18"/>
      <c r="O321" s="18"/>
      <c r="P321" s="18"/>
      <c r="Q321" s="18"/>
      <c r="R321" s="18"/>
      <c r="S321"/>
    </row>
    <row r="322" spans="8:19" s="6" customFormat="1" ht="20.100000000000001" customHeight="1" x14ac:dyDescent="0.25">
      <c r="H322" s="56"/>
      <c r="I322" s="56"/>
      <c r="J322" s="56"/>
      <c r="K322" s="56"/>
      <c r="L322" s="56"/>
      <c r="M322" s="56"/>
      <c r="N322" s="18"/>
      <c r="O322" s="18"/>
      <c r="P322" s="18"/>
      <c r="Q322" s="18"/>
      <c r="R322" s="18"/>
      <c r="S322"/>
    </row>
    <row r="323" spans="8:19" s="6" customFormat="1" ht="20.100000000000001" customHeight="1" x14ac:dyDescent="0.25">
      <c r="H323" s="56"/>
      <c r="I323" s="56"/>
      <c r="J323" s="56"/>
      <c r="K323" s="56"/>
      <c r="L323" s="56"/>
      <c r="M323" s="56"/>
      <c r="N323" s="18"/>
      <c r="O323" s="18"/>
      <c r="P323" s="18"/>
      <c r="Q323" s="18"/>
      <c r="R323" s="18"/>
      <c r="S323"/>
    </row>
    <row r="324" spans="8:19" s="6" customFormat="1" ht="20.100000000000001" customHeight="1" x14ac:dyDescent="0.25">
      <c r="H324" s="56"/>
      <c r="I324" s="56"/>
      <c r="J324" s="56"/>
      <c r="K324" s="56"/>
      <c r="L324" s="56"/>
      <c r="M324" s="56"/>
      <c r="N324" s="18"/>
      <c r="O324" s="18"/>
      <c r="P324" s="18"/>
      <c r="Q324" s="18"/>
      <c r="R324" s="18"/>
      <c r="S324"/>
    </row>
    <row r="325" spans="8:19" s="6" customFormat="1" ht="20.100000000000001" customHeight="1" x14ac:dyDescent="0.25">
      <c r="H325" s="56"/>
      <c r="I325" s="56"/>
      <c r="J325" s="56"/>
      <c r="K325" s="56"/>
      <c r="L325" s="56"/>
      <c r="M325" s="56"/>
      <c r="N325" s="18"/>
      <c r="O325" s="18"/>
      <c r="P325" s="18"/>
      <c r="Q325" s="18"/>
      <c r="R325" s="18"/>
      <c r="S325"/>
    </row>
    <row r="326" spans="8:19" s="6" customFormat="1" ht="20.100000000000001" customHeight="1" x14ac:dyDescent="0.25">
      <c r="H326" s="56"/>
      <c r="I326" s="56"/>
      <c r="J326" s="56"/>
      <c r="K326" s="56"/>
      <c r="L326" s="56"/>
      <c r="M326" s="56"/>
      <c r="N326" s="18"/>
      <c r="O326" s="18"/>
      <c r="P326" s="18"/>
      <c r="Q326" s="18"/>
      <c r="R326" s="18"/>
      <c r="S326"/>
    </row>
    <row r="327" spans="8:19" s="6" customFormat="1" ht="20.100000000000001" customHeight="1" x14ac:dyDescent="0.25">
      <c r="H327" s="56"/>
      <c r="I327" s="56"/>
      <c r="J327" s="56"/>
      <c r="K327" s="56"/>
      <c r="L327" s="56"/>
      <c r="M327" s="56"/>
      <c r="N327" s="18"/>
      <c r="O327" s="18"/>
      <c r="P327" s="18"/>
      <c r="Q327" s="18"/>
      <c r="R327" s="18"/>
      <c r="S327"/>
    </row>
    <row r="328" spans="8:19" s="6" customFormat="1" ht="20.100000000000001" customHeight="1" x14ac:dyDescent="0.25">
      <c r="H328" s="56"/>
      <c r="I328" s="56"/>
      <c r="J328" s="56"/>
      <c r="K328" s="56"/>
      <c r="L328" s="56"/>
      <c r="M328" s="56"/>
      <c r="N328" s="18"/>
      <c r="O328" s="18"/>
      <c r="P328" s="18"/>
      <c r="Q328" s="18"/>
      <c r="R328" s="18"/>
      <c r="S328"/>
    </row>
    <row r="329" spans="8:19" s="6" customFormat="1" ht="20.100000000000001" customHeight="1" x14ac:dyDescent="0.25">
      <c r="H329" s="56"/>
      <c r="I329" s="56"/>
      <c r="J329" s="56"/>
      <c r="K329" s="56"/>
      <c r="L329" s="56"/>
      <c r="M329" s="56"/>
      <c r="N329" s="18"/>
      <c r="O329" s="18"/>
      <c r="P329" s="18"/>
      <c r="Q329" s="18"/>
      <c r="R329" s="18"/>
      <c r="S329"/>
    </row>
    <row r="330" spans="8:19" s="6" customFormat="1" ht="20.100000000000001" customHeight="1" x14ac:dyDescent="0.25">
      <c r="H330" s="56"/>
      <c r="I330" s="56"/>
      <c r="J330" s="56"/>
      <c r="K330" s="56"/>
      <c r="L330" s="56"/>
      <c r="M330" s="56"/>
      <c r="N330" s="18"/>
      <c r="O330" s="18"/>
      <c r="P330" s="18"/>
      <c r="Q330" s="18"/>
      <c r="R330" s="18"/>
      <c r="S330"/>
    </row>
    <row r="331" spans="8:19" s="6" customFormat="1" ht="20.100000000000001" customHeight="1" x14ac:dyDescent="0.25">
      <c r="H331" s="56"/>
      <c r="I331" s="56"/>
      <c r="J331" s="56"/>
      <c r="K331" s="56"/>
      <c r="L331" s="56"/>
      <c r="M331" s="56"/>
      <c r="N331" s="18"/>
      <c r="O331" s="18"/>
      <c r="P331" s="18"/>
      <c r="Q331" s="18"/>
      <c r="R331" s="18"/>
      <c r="S331"/>
    </row>
    <row r="332" spans="8:19" s="6" customFormat="1" ht="20.100000000000001" customHeight="1" x14ac:dyDescent="0.25">
      <c r="H332" s="56"/>
      <c r="I332" s="56"/>
      <c r="J332" s="56"/>
      <c r="K332" s="56"/>
      <c r="L332" s="56"/>
      <c r="M332" s="56"/>
      <c r="N332" s="18"/>
      <c r="O332" s="18"/>
      <c r="P332" s="18"/>
      <c r="Q332" s="18"/>
      <c r="R332" s="18"/>
      <c r="S332"/>
    </row>
    <row r="333" spans="8:19" s="6" customFormat="1" ht="20.100000000000001" customHeight="1" x14ac:dyDescent="0.25">
      <c r="H333" s="56"/>
      <c r="I333" s="56"/>
      <c r="J333" s="56"/>
      <c r="K333" s="56"/>
      <c r="L333" s="56"/>
      <c r="M333" s="56"/>
      <c r="N333" s="18"/>
      <c r="O333" s="18"/>
      <c r="P333" s="18"/>
      <c r="Q333" s="18"/>
      <c r="R333" s="18"/>
      <c r="S333"/>
    </row>
    <row r="334" spans="8:19" s="6" customFormat="1" ht="20.100000000000001" customHeight="1" x14ac:dyDescent="0.25">
      <c r="H334" s="56"/>
      <c r="I334" s="56"/>
      <c r="J334" s="56"/>
      <c r="K334" s="56"/>
      <c r="L334" s="56"/>
      <c r="M334" s="56"/>
      <c r="N334" s="18"/>
      <c r="O334" s="18"/>
      <c r="P334" s="18"/>
      <c r="Q334" s="18"/>
      <c r="R334" s="18"/>
      <c r="S334"/>
    </row>
    <row r="335" spans="8:19" s="6" customFormat="1" ht="20.100000000000001" customHeight="1" x14ac:dyDescent="0.25">
      <c r="H335" s="56"/>
      <c r="I335" s="56"/>
      <c r="J335" s="56"/>
      <c r="K335" s="56"/>
      <c r="L335" s="56"/>
      <c r="M335" s="56"/>
      <c r="N335" s="18"/>
      <c r="O335" s="18"/>
      <c r="P335" s="18"/>
      <c r="Q335" s="18"/>
      <c r="R335" s="18"/>
      <c r="S335"/>
    </row>
    <row r="336" spans="8:19" s="6" customFormat="1" ht="20.100000000000001" customHeight="1" x14ac:dyDescent="0.25">
      <c r="H336" s="56"/>
      <c r="I336" s="56"/>
      <c r="J336" s="56"/>
      <c r="K336" s="56"/>
      <c r="L336" s="56"/>
      <c r="M336" s="56"/>
      <c r="N336" s="18"/>
      <c r="O336" s="18"/>
      <c r="P336" s="18"/>
      <c r="Q336" s="18"/>
      <c r="R336" s="18"/>
      <c r="S336"/>
    </row>
    <row r="337" spans="8:19" s="6" customFormat="1" ht="20.100000000000001" customHeight="1" x14ac:dyDescent="0.25">
      <c r="H337" s="56"/>
      <c r="I337" s="56"/>
      <c r="J337" s="56"/>
      <c r="K337" s="56"/>
      <c r="L337" s="56"/>
      <c r="M337" s="56"/>
      <c r="N337" s="18"/>
      <c r="O337" s="18"/>
      <c r="P337" s="18"/>
      <c r="Q337" s="18"/>
      <c r="R337" s="18"/>
      <c r="S337"/>
    </row>
    <row r="338" spans="8:19" s="6" customFormat="1" ht="20.100000000000001" customHeight="1" x14ac:dyDescent="0.25">
      <c r="H338" s="56"/>
      <c r="I338" s="56"/>
      <c r="J338" s="56"/>
      <c r="K338" s="56"/>
      <c r="L338" s="56"/>
      <c r="M338" s="56"/>
      <c r="N338" s="18"/>
      <c r="O338" s="18"/>
      <c r="P338" s="18"/>
      <c r="Q338" s="18"/>
      <c r="R338" s="18"/>
      <c r="S338"/>
    </row>
    <row r="339" spans="8:19" s="6" customFormat="1" ht="20.100000000000001" customHeight="1" x14ac:dyDescent="0.25">
      <c r="H339" s="56"/>
      <c r="I339" s="56"/>
      <c r="J339" s="56"/>
      <c r="K339" s="56"/>
      <c r="L339" s="56"/>
      <c r="M339" s="56"/>
      <c r="N339" s="18"/>
      <c r="O339" s="18"/>
      <c r="P339" s="18"/>
      <c r="Q339" s="18"/>
      <c r="R339" s="18"/>
      <c r="S339"/>
    </row>
    <row r="340" spans="8:19" s="6" customFormat="1" ht="20.100000000000001" customHeight="1" x14ac:dyDescent="0.25">
      <c r="H340" s="56"/>
      <c r="I340" s="56"/>
      <c r="J340" s="56"/>
      <c r="K340" s="56"/>
      <c r="L340" s="56"/>
      <c r="M340" s="56"/>
      <c r="N340" s="18"/>
      <c r="O340" s="18"/>
      <c r="P340" s="18"/>
      <c r="Q340" s="18"/>
      <c r="R340" s="18"/>
      <c r="S340"/>
    </row>
    <row r="341" spans="8:19" s="6" customFormat="1" ht="20.100000000000001" customHeight="1" x14ac:dyDescent="0.25">
      <c r="H341" s="56"/>
      <c r="I341" s="56"/>
      <c r="J341" s="56"/>
      <c r="K341" s="56"/>
      <c r="L341" s="56"/>
      <c r="M341" s="56"/>
      <c r="N341" s="18"/>
      <c r="O341" s="18"/>
      <c r="P341" s="18"/>
      <c r="Q341" s="18"/>
      <c r="R341" s="18"/>
      <c r="S341"/>
    </row>
    <row r="342" spans="8:19" s="6" customFormat="1" ht="20.100000000000001" customHeight="1" x14ac:dyDescent="0.25">
      <c r="H342" s="56"/>
      <c r="I342" s="56"/>
      <c r="J342" s="56"/>
      <c r="K342" s="56"/>
      <c r="L342" s="56"/>
      <c r="M342" s="56"/>
      <c r="N342" s="18"/>
      <c r="O342" s="18"/>
      <c r="P342" s="18"/>
      <c r="Q342" s="18"/>
      <c r="R342" s="18"/>
      <c r="S342"/>
    </row>
    <row r="343" spans="8:19" s="6" customFormat="1" ht="20.100000000000001" customHeight="1" x14ac:dyDescent="0.25">
      <c r="H343" s="56"/>
      <c r="I343" s="56"/>
      <c r="J343" s="56"/>
      <c r="K343" s="56"/>
      <c r="L343" s="56"/>
      <c r="M343" s="56"/>
      <c r="N343" s="18"/>
      <c r="O343" s="18"/>
      <c r="P343" s="18"/>
      <c r="Q343" s="18"/>
      <c r="R343" s="18"/>
      <c r="S343"/>
    </row>
    <row r="344" spans="8:19" s="6" customFormat="1" ht="20.100000000000001" customHeight="1" x14ac:dyDescent="0.25">
      <c r="H344" s="56"/>
      <c r="I344" s="56"/>
      <c r="J344" s="56"/>
      <c r="K344" s="56"/>
      <c r="L344" s="56"/>
      <c r="M344" s="56"/>
      <c r="N344" s="18"/>
      <c r="O344" s="18"/>
      <c r="P344" s="18"/>
      <c r="Q344" s="18"/>
      <c r="R344" s="18"/>
      <c r="S344"/>
    </row>
    <row r="345" spans="8:19" s="6" customFormat="1" ht="20.100000000000001" customHeight="1" x14ac:dyDescent="0.25">
      <c r="H345" s="56"/>
      <c r="I345" s="56"/>
      <c r="J345" s="56"/>
      <c r="K345" s="56"/>
      <c r="L345" s="56"/>
      <c r="M345" s="56"/>
      <c r="N345" s="18"/>
      <c r="O345" s="18"/>
      <c r="P345" s="18"/>
      <c r="Q345" s="18"/>
      <c r="R345" s="18"/>
      <c r="S345"/>
    </row>
    <row r="346" spans="8:19" s="6" customFormat="1" ht="20.100000000000001" customHeight="1" x14ac:dyDescent="0.25">
      <c r="H346" s="56"/>
      <c r="I346" s="56"/>
      <c r="J346" s="56"/>
      <c r="K346" s="56"/>
      <c r="L346" s="56"/>
      <c r="M346" s="56"/>
      <c r="N346" s="18"/>
      <c r="O346" s="18"/>
      <c r="P346" s="18"/>
      <c r="Q346" s="18"/>
      <c r="R346" s="18"/>
      <c r="S346"/>
    </row>
    <row r="347" spans="8:19" s="6" customFormat="1" ht="20.100000000000001" customHeight="1" x14ac:dyDescent="0.25">
      <c r="H347" s="56"/>
      <c r="I347" s="56"/>
      <c r="J347" s="56"/>
      <c r="K347" s="56"/>
      <c r="L347" s="56"/>
      <c r="M347" s="56"/>
      <c r="N347" s="18"/>
      <c r="O347" s="18"/>
      <c r="P347" s="18"/>
      <c r="Q347" s="18"/>
      <c r="R347" s="18"/>
      <c r="S347"/>
    </row>
    <row r="348" spans="8:19" s="6" customFormat="1" ht="20.100000000000001" customHeight="1" x14ac:dyDescent="0.25">
      <c r="H348" s="56"/>
      <c r="I348" s="56"/>
      <c r="J348" s="56"/>
      <c r="K348" s="56"/>
      <c r="L348" s="56"/>
      <c r="M348" s="56"/>
      <c r="N348" s="18"/>
      <c r="O348" s="18"/>
      <c r="P348" s="18"/>
      <c r="Q348" s="18"/>
      <c r="R348" s="18"/>
      <c r="S348"/>
    </row>
    <row r="349" spans="8:19" s="6" customFormat="1" ht="20.100000000000001" customHeight="1" x14ac:dyDescent="0.25">
      <c r="H349" s="56"/>
      <c r="I349" s="56"/>
      <c r="J349" s="56"/>
      <c r="K349" s="56"/>
      <c r="L349" s="56"/>
      <c r="M349" s="56"/>
      <c r="N349" s="18"/>
      <c r="O349" s="18"/>
      <c r="P349" s="18"/>
      <c r="Q349" s="18"/>
      <c r="R349" s="18"/>
      <c r="S349"/>
    </row>
    <row r="350" spans="8:19" s="6" customFormat="1" ht="20.100000000000001" customHeight="1" x14ac:dyDescent="0.25">
      <c r="H350" s="56"/>
      <c r="I350" s="56"/>
      <c r="J350" s="56"/>
      <c r="K350" s="56"/>
      <c r="L350" s="56"/>
      <c r="M350" s="56"/>
      <c r="N350" s="18"/>
      <c r="O350" s="18"/>
      <c r="P350" s="18"/>
      <c r="Q350" s="18"/>
      <c r="R350" s="18"/>
      <c r="S350"/>
    </row>
    <row r="351" spans="8:19" s="6" customFormat="1" ht="20.100000000000001" customHeight="1" x14ac:dyDescent="0.25">
      <c r="H351" s="56"/>
      <c r="I351" s="56"/>
      <c r="J351" s="56"/>
      <c r="K351" s="56"/>
      <c r="L351" s="56"/>
      <c r="M351" s="56"/>
      <c r="N351" s="18"/>
      <c r="O351" s="18"/>
      <c r="P351" s="18"/>
      <c r="Q351" s="18"/>
      <c r="R351" s="18"/>
      <c r="S351"/>
    </row>
    <row r="352" spans="8:19" s="6" customFormat="1" ht="20.100000000000001" customHeight="1" x14ac:dyDescent="0.25">
      <c r="H352" s="56"/>
      <c r="I352" s="56"/>
      <c r="J352" s="56"/>
      <c r="K352" s="56"/>
      <c r="L352" s="56"/>
      <c r="M352" s="56"/>
      <c r="N352" s="18"/>
      <c r="O352" s="18"/>
      <c r="P352" s="18"/>
      <c r="Q352" s="18"/>
      <c r="R352" s="18"/>
      <c r="S352"/>
    </row>
    <row r="353" spans="8:19" s="6" customFormat="1" ht="20.100000000000001" customHeight="1" x14ac:dyDescent="0.25">
      <c r="H353" s="56"/>
      <c r="I353" s="56"/>
      <c r="J353" s="56"/>
      <c r="K353" s="56"/>
      <c r="L353" s="56"/>
      <c r="M353" s="56"/>
      <c r="N353" s="18"/>
      <c r="O353" s="18"/>
      <c r="P353" s="18"/>
      <c r="Q353" s="18"/>
      <c r="R353" s="18"/>
      <c r="S353"/>
    </row>
    <row r="354" spans="8:19" s="6" customFormat="1" ht="20.100000000000001" customHeight="1" x14ac:dyDescent="0.25">
      <c r="H354" s="56"/>
      <c r="I354" s="56"/>
      <c r="J354" s="56"/>
      <c r="K354" s="56"/>
      <c r="L354" s="56"/>
      <c r="M354" s="56"/>
      <c r="N354" s="18"/>
      <c r="O354" s="18"/>
      <c r="P354" s="18"/>
      <c r="Q354" s="18"/>
      <c r="R354" s="18"/>
      <c r="S354"/>
    </row>
    <row r="355" spans="8:19" s="6" customFormat="1" ht="20.100000000000001" customHeight="1" x14ac:dyDescent="0.25">
      <c r="H355" s="56"/>
      <c r="I355" s="56"/>
      <c r="J355" s="56"/>
      <c r="K355" s="56"/>
      <c r="L355" s="56"/>
      <c r="M355" s="56"/>
      <c r="N355" s="18"/>
      <c r="O355" s="18"/>
      <c r="P355" s="18"/>
      <c r="Q355" s="18"/>
      <c r="R355" s="18"/>
      <c r="S355"/>
    </row>
    <row r="356" spans="8:19" s="6" customFormat="1" ht="20.100000000000001" customHeight="1" x14ac:dyDescent="0.25">
      <c r="H356" s="56"/>
      <c r="I356" s="56"/>
      <c r="J356" s="56"/>
      <c r="K356" s="56"/>
      <c r="L356" s="56"/>
      <c r="M356" s="56"/>
      <c r="N356" s="18"/>
      <c r="O356" s="18"/>
      <c r="P356" s="18"/>
      <c r="Q356" s="18"/>
      <c r="R356" s="18"/>
      <c r="S356"/>
    </row>
    <row r="357" spans="8:19" s="6" customFormat="1" ht="20.100000000000001" customHeight="1" x14ac:dyDescent="0.25">
      <c r="H357" s="56"/>
      <c r="I357" s="56"/>
      <c r="J357" s="56"/>
      <c r="K357" s="56"/>
      <c r="L357" s="56"/>
      <c r="M357" s="56"/>
      <c r="N357" s="18"/>
      <c r="O357" s="18"/>
      <c r="P357" s="18"/>
      <c r="Q357" s="18"/>
      <c r="R357" s="18"/>
      <c r="S357"/>
    </row>
    <row r="358" spans="8:19" s="6" customFormat="1" ht="20.100000000000001" customHeight="1" x14ac:dyDescent="0.25">
      <c r="H358" s="56"/>
      <c r="I358" s="56"/>
      <c r="J358" s="56"/>
      <c r="K358" s="56"/>
      <c r="L358" s="56"/>
      <c r="M358" s="56"/>
      <c r="N358" s="18"/>
      <c r="O358" s="18"/>
      <c r="P358" s="18"/>
      <c r="Q358" s="18"/>
      <c r="R358" s="18"/>
      <c r="S358"/>
    </row>
    <row r="359" spans="8:19" s="6" customFormat="1" ht="20.100000000000001" customHeight="1" x14ac:dyDescent="0.25">
      <c r="H359" s="56"/>
      <c r="I359" s="56"/>
      <c r="J359" s="56"/>
      <c r="K359" s="56"/>
      <c r="L359" s="56"/>
      <c r="M359" s="56"/>
      <c r="N359" s="18"/>
      <c r="O359" s="18"/>
      <c r="P359" s="18"/>
      <c r="Q359" s="18"/>
      <c r="R359" s="18"/>
      <c r="S359"/>
    </row>
    <row r="360" spans="8:19" s="6" customFormat="1" ht="20.100000000000001" customHeight="1" x14ac:dyDescent="0.25">
      <c r="H360" s="56"/>
      <c r="I360" s="56"/>
      <c r="J360" s="56"/>
      <c r="K360" s="56"/>
      <c r="L360" s="56"/>
      <c r="M360" s="56"/>
      <c r="N360" s="18"/>
      <c r="O360" s="18"/>
      <c r="P360" s="18"/>
      <c r="Q360" s="18"/>
      <c r="R360" s="18"/>
      <c r="S360"/>
    </row>
    <row r="361" spans="8:19" s="6" customFormat="1" ht="20.100000000000001" customHeight="1" x14ac:dyDescent="0.25">
      <c r="H361" s="56"/>
      <c r="I361" s="56"/>
      <c r="J361" s="56"/>
      <c r="K361" s="56"/>
      <c r="L361" s="56"/>
      <c r="M361" s="56"/>
      <c r="N361" s="18"/>
      <c r="O361" s="18"/>
      <c r="P361" s="18"/>
      <c r="Q361" s="18"/>
      <c r="R361" s="18"/>
      <c r="S361"/>
    </row>
    <row r="362" spans="8:19" s="6" customFormat="1" ht="20.100000000000001" customHeight="1" x14ac:dyDescent="0.25">
      <c r="H362" s="56"/>
      <c r="I362" s="56"/>
      <c r="J362" s="56"/>
      <c r="K362" s="56"/>
      <c r="L362" s="56"/>
      <c r="M362" s="56"/>
      <c r="N362" s="18"/>
      <c r="O362" s="18"/>
      <c r="P362" s="18"/>
      <c r="Q362" s="18"/>
      <c r="R362" s="18"/>
      <c r="S362"/>
    </row>
    <row r="363" spans="8:19" s="6" customFormat="1" ht="20.100000000000001" customHeight="1" x14ac:dyDescent="0.25">
      <c r="H363" s="56"/>
      <c r="I363" s="56"/>
      <c r="J363" s="56"/>
      <c r="K363" s="56"/>
      <c r="L363" s="56"/>
      <c r="M363" s="56"/>
      <c r="N363" s="18"/>
      <c r="O363" s="18"/>
      <c r="P363" s="18"/>
      <c r="Q363" s="18"/>
      <c r="R363" s="18"/>
      <c r="S363"/>
    </row>
    <row r="364" spans="8:19" s="6" customFormat="1" ht="20.100000000000001" customHeight="1" x14ac:dyDescent="0.25">
      <c r="H364" s="56"/>
      <c r="I364" s="56"/>
      <c r="J364" s="56"/>
      <c r="K364" s="56"/>
      <c r="L364" s="56"/>
      <c r="M364" s="56"/>
      <c r="N364" s="18"/>
      <c r="O364" s="18"/>
      <c r="P364" s="18"/>
      <c r="Q364" s="18"/>
      <c r="R364" s="18"/>
      <c r="S364"/>
    </row>
    <row r="365" spans="8:19" s="6" customFormat="1" ht="20.100000000000001" customHeight="1" x14ac:dyDescent="0.25">
      <c r="H365" s="56"/>
      <c r="I365" s="56"/>
      <c r="J365" s="56"/>
      <c r="K365" s="56"/>
      <c r="L365" s="56"/>
      <c r="M365" s="56"/>
      <c r="N365" s="18"/>
      <c r="O365" s="18"/>
      <c r="P365" s="18"/>
      <c r="Q365" s="18"/>
      <c r="R365" s="18"/>
      <c r="S365"/>
    </row>
    <row r="366" spans="8:19" s="6" customFormat="1" ht="20.100000000000001" customHeight="1" x14ac:dyDescent="0.25">
      <c r="H366" s="56"/>
      <c r="I366" s="56"/>
      <c r="J366" s="56"/>
      <c r="K366" s="56"/>
      <c r="L366" s="56"/>
      <c r="M366" s="56"/>
      <c r="N366" s="18"/>
      <c r="O366" s="18"/>
      <c r="P366" s="18"/>
      <c r="Q366" s="18"/>
      <c r="R366" s="18"/>
      <c r="S366"/>
    </row>
    <row r="367" spans="8:19" s="6" customFormat="1" ht="20.100000000000001" customHeight="1" x14ac:dyDescent="0.25">
      <c r="H367" s="56"/>
      <c r="I367" s="56"/>
      <c r="J367" s="56"/>
      <c r="K367" s="56"/>
      <c r="L367" s="56"/>
      <c r="M367" s="56"/>
      <c r="N367" s="18"/>
      <c r="O367" s="18"/>
      <c r="P367" s="18"/>
      <c r="Q367" s="18"/>
      <c r="R367" s="18"/>
      <c r="S367"/>
    </row>
    <row r="368" spans="8:19" s="6" customFormat="1" ht="20.100000000000001" customHeight="1" x14ac:dyDescent="0.25">
      <c r="H368" s="56"/>
      <c r="I368" s="56"/>
      <c r="J368" s="56"/>
      <c r="K368" s="56"/>
      <c r="L368" s="56"/>
      <c r="M368" s="56"/>
      <c r="N368" s="18"/>
      <c r="O368" s="18"/>
      <c r="P368" s="18"/>
      <c r="Q368" s="18"/>
      <c r="R368" s="18"/>
      <c r="S368"/>
    </row>
    <row r="369" spans="8:19" s="6" customFormat="1" ht="20.100000000000001" customHeight="1" x14ac:dyDescent="0.25">
      <c r="H369" s="56"/>
      <c r="I369" s="56"/>
      <c r="J369" s="56"/>
      <c r="K369" s="56"/>
      <c r="L369" s="56"/>
      <c r="M369" s="56"/>
      <c r="N369" s="18"/>
      <c r="O369" s="18"/>
      <c r="P369" s="18"/>
      <c r="Q369" s="18"/>
      <c r="R369" s="18"/>
      <c r="S369"/>
    </row>
    <row r="370" spans="8:19" s="6" customFormat="1" ht="20.100000000000001" customHeight="1" x14ac:dyDescent="0.25">
      <c r="H370" s="56"/>
      <c r="I370" s="56"/>
      <c r="J370" s="56"/>
      <c r="K370" s="56"/>
      <c r="L370" s="56"/>
      <c r="M370" s="56"/>
      <c r="N370" s="18"/>
      <c r="O370" s="18"/>
      <c r="P370" s="18"/>
      <c r="Q370" s="18"/>
      <c r="R370" s="18"/>
      <c r="S370"/>
    </row>
    <row r="371" spans="8:19" s="6" customFormat="1" ht="20.100000000000001" customHeight="1" x14ac:dyDescent="0.25">
      <c r="H371" s="56"/>
      <c r="I371" s="56"/>
      <c r="J371" s="56"/>
      <c r="K371" s="56"/>
      <c r="L371" s="56"/>
      <c r="M371" s="56"/>
      <c r="N371" s="18"/>
      <c r="O371" s="18"/>
      <c r="P371" s="18"/>
      <c r="Q371" s="18"/>
      <c r="R371" s="18"/>
      <c r="S371"/>
    </row>
    <row r="372" spans="8:19" s="6" customFormat="1" ht="20.100000000000001" customHeight="1" x14ac:dyDescent="0.25">
      <c r="H372" s="56"/>
      <c r="I372" s="56"/>
      <c r="J372" s="56"/>
      <c r="K372" s="56"/>
      <c r="L372" s="56"/>
      <c r="M372" s="56"/>
      <c r="N372" s="18"/>
      <c r="O372" s="18"/>
      <c r="P372" s="18"/>
      <c r="Q372" s="18"/>
      <c r="R372" s="18"/>
      <c r="S372"/>
    </row>
    <row r="373" spans="8:19" s="6" customFormat="1" ht="20.100000000000001" customHeight="1" x14ac:dyDescent="0.25">
      <c r="H373" s="56"/>
      <c r="I373" s="56"/>
      <c r="J373" s="56"/>
      <c r="K373" s="56"/>
      <c r="L373" s="56"/>
      <c r="M373" s="56"/>
      <c r="N373" s="18"/>
      <c r="O373" s="18"/>
      <c r="P373" s="18"/>
      <c r="Q373" s="18"/>
      <c r="R373" s="18"/>
      <c r="S373"/>
    </row>
    <row r="374" spans="8:19" s="6" customFormat="1" ht="20.100000000000001" customHeight="1" x14ac:dyDescent="0.25">
      <c r="H374" s="56"/>
      <c r="I374" s="56"/>
      <c r="J374" s="56"/>
      <c r="K374" s="56"/>
      <c r="L374" s="56"/>
      <c r="M374" s="56"/>
      <c r="N374" s="18"/>
      <c r="O374" s="18"/>
      <c r="P374" s="18"/>
      <c r="Q374" s="18"/>
      <c r="R374" s="18"/>
      <c r="S374"/>
    </row>
    <row r="375" spans="8:19" s="6" customFormat="1" ht="20.100000000000001" customHeight="1" x14ac:dyDescent="0.25">
      <c r="H375" s="56"/>
      <c r="I375" s="56"/>
      <c r="J375" s="56"/>
      <c r="K375" s="56"/>
      <c r="L375" s="56"/>
      <c r="M375" s="56"/>
      <c r="N375" s="18"/>
      <c r="O375" s="18"/>
      <c r="P375" s="18"/>
      <c r="Q375" s="18"/>
      <c r="R375" s="18"/>
      <c r="S375"/>
    </row>
    <row r="376" spans="8:19" s="6" customFormat="1" ht="20.100000000000001" customHeight="1" x14ac:dyDescent="0.25">
      <c r="H376" s="56"/>
      <c r="I376" s="56"/>
      <c r="J376" s="56"/>
      <c r="K376" s="56"/>
      <c r="L376" s="56"/>
      <c r="M376" s="56"/>
      <c r="N376" s="18"/>
      <c r="O376" s="18"/>
      <c r="P376" s="18"/>
      <c r="Q376" s="18"/>
      <c r="R376" s="18"/>
      <c r="S376"/>
    </row>
    <row r="377" spans="8:19" s="6" customFormat="1" ht="20.100000000000001" customHeight="1" x14ac:dyDescent="0.25">
      <c r="H377" s="56"/>
      <c r="I377" s="56"/>
      <c r="J377" s="56"/>
      <c r="K377" s="56"/>
      <c r="L377" s="56"/>
      <c r="M377" s="56"/>
      <c r="N377" s="18"/>
      <c r="O377" s="18"/>
      <c r="P377" s="18"/>
      <c r="Q377" s="18"/>
      <c r="R377" s="18"/>
      <c r="S377"/>
    </row>
    <row r="378" spans="8:19" s="6" customFormat="1" ht="20.100000000000001" customHeight="1" x14ac:dyDescent="0.25">
      <c r="H378" s="56"/>
      <c r="I378" s="56"/>
      <c r="J378" s="56"/>
      <c r="K378" s="56"/>
      <c r="L378" s="56"/>
      <c r="M378" s="56"/>
      <c r="N378" s="18"/>
      <c r="O378" s="18"/>
      <c r="P378" s="18"/>
      <c r="Q378" s="18"/>
      <c r="R378" s="18"/>
      <c r="S378"/>
    </row>
    <row r="379" spans="8:19" s="6" customFormat="1" ht="20.100000000000001" customHeight="1" x14ac:dyDescent="0.25">
      <c r="H379" s="56"/>
      <c r="I379" s="56"/>
      <c r="J379" s="56"/>
      <c r="K379" s="56"/>
      <c r="L379" s="56"/>
      <c r="M379" s="56"/>
      <c r="N379" s="18"/>
      <c r="O379" s="18"/>
      <c r="P379" s="18"/>
      <c r="Q379" s="18"/>
      <c r="R379" s="18"/>
      <c r="S379"/>
    </row>
    <row r="380" spans="8:19" s="6" customFormat="1" ht="20.100000000000001" customHeight="1" x14ac:dyDescent="0.25">
      <c r="H380" s="56"/>
      <c r="I380" s="56"/>
      <c r="J380" s="56"/>
      <c r="K380" s="56"/>
      <c r="L380" s="56"/>
      <c r="M380" s="56"/>
      <c r="N380" s="18"/>
      <c r="O380" s="18"/>
      <c r="P380" s="18"/>
      <c r="Q380" s="18"/>
      <c r="R380" s="18"/>
      <c r="S380"/>
    </row>
    <row r="381" spans="8:19" s="6" customFormat="1" ht="20.100000000000001" customHeight="1" x14ac:dyDescent="0.25">
      <c r="H381" s="56"/>
      <c r="I381" s="56"/>
      <c r="J381" s="56"/>
      <c r="K381" s="56"/>
      <c r="L381" s="56"/>
      <c r="M381" s="56"/>
      <c r="N381" s="18"/>
      <c r="O381" s="18"/>
      <c r="P381" s="18"/>
      <c r="Q381" s="18"/>
      <c r="R381" s="18"/>
      <c r="S381"/>
    </row>
    <row r="382" spans="8:19" s="6" customFormat="1" ht="20.100000000000001" customHeight="1" x14ac:dyDescent="0.25">
      <c r="H382" s="56"/>
      <c r="I382" s="56"/>
      <c r="J382" s="56"/>
      <c r="K382" s="56"/>
      <c r="L382" s="56"/>
      <c r="M382" s="56"/>
      <c r="N382" s="18"/>
      <c r="O382" s="18"/>
      <c r="P382" s="18"/>
      <c r="Q382" s="18"/>
      <c r="R382" s="18"/>
      <c r="S382"/>
    </row>
    <row r="383" spans="8:19" s="6" customFormat="1" ht="20.100000000000001" customHeight="1" x14ac:dyDescent="0.25">
      <c r="H383" s="56"/>
      <c r="I383" s="56"/>
      <c r="J383" s="56"/>
      <c r="K383" s="56"/>
      <c r="L383" s="56"/>
      <c r="M383" s="56"/>
      <c r="N383" s="18"/>
      <c r="O383" s="18"/>
      <c r="P383" s="18"/>
      <c r="Q383" s="18"/>
      <c r="R383" s="18"/>
      <c r="S383"/>
    </row>
    <row r="384" spans="8:19" s="6" customFormat="1" ht="20.100000000000001" customHeight="1" x14ac:dyDescent="0.25">
      <c r="H384" s="56"/>
      <c r="I384" s="56"/>
      <c r="J384" s="56"/>
      <c r="K384" s="56"/>
      <c r="L384" s="56"/>
      <c r="M384" s="56"/>
      <c r="N384" s="18"/>
      <c r="O384" s="18"/>
      <c r="P384" s="18"/>
      <c r="Q384" s="18"/>
      <c r="R384" s="18"/>
      <c r="S384"/>
    </row>
    <row r="385" spans="8:19" s="6" customFormat="1" ht="20.100000000000001" customHeight="1" x14ac:dyDescent="0.25">
      <c r="H385" s="56"/>
      <c r="I385" s="56"/>
      <c r="J385" s="56"/>
      <c r="K385" s="56"/>
      <c r="L385" s="56"/>
      <c r="M385" s="56"/>
      <c r="N385" s="18"/>
      <c r="O385" s="18"/>
      <c r="P385" s="18"/>
      <c r="Q385" s="18"/>
      <c r="R385" s="18"/>
      <c r="S385"/>
    </row>
    <row r="386" spans="8:19" s="6" customFormat="1" ht="20.100000000000001" customHeight="1" x14ac:dyDescent="0.25">
      <c r="H386" s="56"/>
      <c r="I386" s="56"/>
      <c r="J386" s="56"/>
      <c r="K386" s="56"/>
      <c r="L386" s="56"/>
      <c r="M386" s="56"/>
      <c r="N386" s="18"/>
      <c r="O386" s="18"/>
      <c r="P386" s="18"/>
      <c r="Q386" s="18"/>
      <c r="R386" s="18"/>
      <c r="S386"/>
    </row>
    <row r="387" spans="8:19" s="6" customFormat="1" ht="20.100000000000001" customHeight="1" x14ac:dyDescent="0.25">
      <c r="H387" s="56"/>
      <c r="I387" s="56"/>
      <c r="J387" s="56"/>
      <c r="K387" s="56"/>
      <c r="L387" s="56"/>
      <c r="M387" s="56"/>
      <c r="N387" s="18"/>
      <c r="O387" s="18"/>
      <c r="P387" s="18"/>
      <c r="Q387" s="18"/>
      <c r="R387" s="18"/>
      <c r="S387"/>
    </row>
  </sheetData>
  <mergeCells count="2">
    <mergeCell ref="A7:R7"/>
    <mergeCell ref="A6:V6"/>
  </mergeCells>
  <pageMargins left="0.19685039370078741" right="0.15748031496062992" top="0.15748031496062992" bottom="0.15748031496062992" header="0.31496062992125984" footer="0.31496062992125984"/>
  <pageSetup paperSize="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V387"/>
  <sheetViews>
    <sheetView workbookViewId="0">
      <selection activeCell="A6" sqref="A6:V6"/>
    </sheetView>
  </sheetViews>
  <sheetFormatPr defaultRowHeight="15" x14ac:dyDescent="0.25"/>
  <cols>
    <col min="1" max="1" width="4.140625" style="6" customWidth="1"/>
    <col min="2" max="2" width="7" style="6" customWidth="1"/>
    <col min="3" max="3" width="0.28515625" style="6" hidden="1" customWidth="1"/>
    <col min="4" max="4" width="13.7109375" style="6" customWidth="1"/>
    <col min="5" max="5" width="16.140625" style="6" customWidth="1"/>
    <col min="6" max="6" width="6.5703125" style="28" customWidth="1"/>
    <col min="7" max="7" width="5.85546875" style="28" customWidth="1"/>
    <col min="8" max="8" width="6.28515625" style="92" customWidth="1"/>
    <col min="9" max="9" width="6" style="92" customWidth="1"/>
    <col min="10" max="10" width="6.140625" style="92" customWidth="1"/>
    <col min="11" max="11" width="5.5703125" style="92" customWidth="1"/>
    <col min="12" max="12" width="6.5703125" style="92" customWidth="1"/>
    <col min="13" max="13" width="6.85546875" style="92" customWidth="1"/>
    <col min="14" max="14" width="5.85546875" style="93" customWidth="1"/>
    <col min="15" max="15" width="18" style="93" hidden="1" customWidth="1"/>
    <col min="16" max="16" width="17.28515625" style="93" hidden="1" customWidth="1"/>
    <col min="17" max="17" width="1.42578125" style="93" hidden="1" customWidth="1"/>
    <col min="18" max="18" width="6.5703125" style="94" customWidth="1"/>
    <col min="19" max="19" width="4" style="94" customWidth="1"/>
    <col min="20" max="20" width="5" style="94" customWidth="1"/>
    <col min="21" max="21" width="10.42578125" style="95" customWidth="1"/>
    <col min="22" max="22" width="8.28515625" style="123" customWidth="1"/>
  </cols>
  <sheetData>
    <row r="2" spans="1:22" ht="15" customHeight="1" x14ac:dyDescent="0.25">
      <c r="N2" s="96"/>
      <c r="O2" s="95"/>
      <c r="T2" s="96"/>
    </row>
    <row r="4" spans="1:22" ht="15" customHeight="1" x14ac:dyDescent="0.25">
      <c r="A4" s="68"/>
      <c r="B4" s="68"/>
      <c r="C4" s="68"/>
    </row>
    <row r="5" spans="1:22" ht="15" customHeight="1" x14ac:dyDescent="0.25">
      <c r="A5" s="68"/>
      <c r="B5" s="68"/>
      <c r="C5" s="68"/>
    </row>
    <row r="6" spans="1:22" ht="29.25" customHeight="1" x14ac:dyDescent="0.3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49"/>
      <c r="P6" s="149"/>
      <c r="Q6" s="149"/>
      <c r="R6" s="149"/>
      <c r="S6" s="149"/>
      <c r="T6" s="149"/>
      <c r="U6" s="149"/>
      <c r="V6" s="149"/>
    </row>
    <row r="7" spans="1:22" s="26" customFormat="1" ht="20.25" customHeight="1" x14ac:dyDescent="0.25">
      <c r="A7" s="159"/>
      <c r="B7" s="159"/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  <c r="P7" s="159"/>
      <c r="Q7" s="159"/>
      <c r="R7" s="97"/>
      <c r="S7" s="97"/>
      <c r="T7" s="97"/>
      <c r="U7" s="98"/>
      <c r="V7" s="124"/>
    </row>
    <row r="8" spans="1:22" s="48" customFormat="1" ht="53.25" customHeight="1" x14ac:dyDescent="0.25">
      <c r="A8" s="69"/>
      <c r="B8" s="47"/>
      <c r="C8" s="47"/>
      <c r="D8" s="70"/>
      <c r="E8" s="70"/>
      <c r="F8" s="73"/>
      <c r="G8" s="73"/>
      <c r="H8" s="99"/>
      <c r="I8" s="99"/>
      <c r="J8" s="99"/>
      <c r="K8" s="99"/>
      <c r="L8" s="99"/>
      <c r="M8" s="99"/>
      <c r="N8" s="99"/>
      <c r="O8" s="99"/>
      <c r="P8" s="99"/>
      <c r="Q8" s="99"/>
      <c r="R8" s="73"/>
      <c r="S8" s="73"/>
      <c r="T8" s="73"/>
      <c r="U8" s="73"/>
      <c r="V8" s="47"/>
    </row>
    <row r="9" spans="1:22" s="86" customFormat="1" ht="20.100000000000001" customHeight="1" x14ac:dyDescent="0.25">
      <c r="A9" s="84"/>
      <c r="B9" s="84"/>
      <c r="C9" s="84"/>
      <c r="D9" s="84"/>
      <c r="E9" s="84"/>
      <c r="F9" s="111"/>
      <c r="G9" s="111"/>
      <c r="H9" s="112"/>
      <c r="I9" s="112"/>
      <c r="J9" s="112"/>
      <c r="K9" s="112"/>
      <c r="L9" s="112"/>
      <c r="M9" s="112"/>
      <c r="N9" s="113"/>
      <c r="O9" s="113"/>
      <c r="P9" s="113"/>
      <c r="Q9" s="113"/>
      <c r="R9" s="114"/>
      <c r="S9" s="114"/>
      <c r="T9" s="114"/>
      <c r="U9" s="115"/>
      <c r="V9" s="116"/>
    </row>
    <row r="10" spans="1:22" s="86" customFormat="1" ht="20.100000000000001" customHeight="1" x14ac:dyDescent="0.25">
      <c r="A10" s="83"/>
      <c r="B10" s="83"/>
      <c r="C10" s="83"/>
      <c r="D10" s="83"/>
      <c r="E10" s="83"/>
      <c r="F10" s="111"/>
      <c r="G10" s="111"/>
      <c r="H10" s="112"/>
      <c r="I10" s="112"/>
      <c r="J10" s="112"/>
      <c r="K10" s="112"/>
      <c r="L10" s="112"/>
      <c r="M10" s="112"/>
      <c r="N10" s="113"/>
      <c r="O10" s="113"/>
      <c r="P10" s="113"/>
      <c r="Q10" s="113"/>
      <c r="R10" s="117"/>
      <c r="S10" s="117"/>
      <c r="T10" s="117"/>
      <c r="U10" s="115"/>
      <c r="V10" s="116"/>
    </row>
    <row r="11" spans="1:22" s="86" customFormat="1" ht="20.100000000000001" customHeight="1" x14ac:dyDescent="0.25">
      <c r="A11" s="83"/>
      <c r="B11" s="83"/>
      <c r="C11" s="83"/>
      <c r="D11" s="83"/>
      <c r="E11" s="83"/>
      <c r="F11" s="111"/>
      <c r="G11" s="111"/>
      <c r="H11" s="112"/>
      <c r="I11" s="112"/>
      <c r="J11" s="112"/>
      <c r="K11" s="112"/>
      <c r="L11" s="112"/>
      <c r="M11" s="112"/>
      <c r="N11" s="113"/>
      <c r="O11" s="113"/>
      <c r="P11" s="113"/>
      <c r="Q11" s="113"/>
      <c r="R11" s="117"/>
      <c r="S11" s="117"/>
      <c r="T11" s="117"/>
      <c r="U11" s="115"/>
      <c r="V11" s="116"/>
    </row>
    <row r="12" spans="1:22" s="86" customFormat="1" ht="20.100000000000001" customHeight="1" x14ac:dyDescent="0.25">
      <c r="A12" s="83"/>
      <c r="B12" s="83"/>
      <c r="C12" s="83"/>
      <c r="D12" s="83"/>
      <c r="E12" s="83"/>
      <c r="F12" s="111"/>
      <c r="G12" s="111"/>
      <c r="H12" s="112"/>
      <c r="I12" s="112"/>
      <c r="J12" s="112"/>
      <c r="K12" s="112"/>
      <c r="L12" s="112"/>
      <c r="M12" s="112"/>
      <c r="N12" s="113"/>
      <c r="O12" s="113"/>
      <c r="P12" s="113"/>
      <c r="Q12" s="113"/>
      <c r="R12" s="117"/>
      <c r="S12" s="117"/>
      <c r="T12" s="117"/>
      <c r="U12" s="115"/>
      <c r="V12" s="116"/>
    </row>
    <row r="13" spans="1:22" s="86" customFormat="1" ht="20.100000000000001" customHeight="1" x14ac:dyDescent="0.25">
      <c r="A13" s="83"/>
      <c r="B13" s="83"/>
      <c r="C13" s="83"/>
      <c r="D13" s="83"/>
      <c r="E13" s="83"/>
      <c r="F13" s="111"/>
      <c r="G13" s="111"/>
      <c r="H13" s="112"/>
      <c r="I13" s="112"/>
      <c r="J13" s="112"/>
      <c r="K13" s="112"/>
      <c r="L13" s="112"/>
      <c r="M13" s="112"/>
      <c r="N13" s="113"/>
      <c r="O13" s="113"/>
      <c r="P13" s="113"/>
      <c r="Q13" s="113"/>
      <c r="R13" s="117"/>
      <c r="S13" s="117"/>
      <c r="T13" s="117"/>
      <c r="U13" s="115"/>
      <c r="V13" s="116"/>
    </row>
    <row r="14" spans="1:22" s="86" customFormat="1" ht="20.100000000000001" customHeight="1" x14ac:dyDescent="0.25">
      <c r="A14" s="83"/>
      <c r="B14" s="83"/>
      <c r="C14" s="83"/>
      <c r="D14" s="83"/>
      <c r="E14" s="83"/>
      <c r="F14" s="111"/>
      <c r="G14" s="111"/>
      <c r="H14" s="112"/>
      <c r="I14" s="112"/>
      <c r="J14" s="112"/>
      <c r="K14" s="112"/>
      <c r="L14" s="112"/>
      <c r="M14" s="112"/>
      <c r="N14" s="113"/>
      <c r="O14" s="113"/>
      <c r="P14" s="113"/>
      <c r="Q14" s="113"/>
      <c r="R14" s="117"/>
      <c r="S14" s="117"/>
      <c r="T14" s="117"/>
      <c r="U14" s="115"/>
      <c r="V14" s="116"/>
    </row>
    <row r="15" spans="1:22" s="86" customFormat="1" ht="20.100000000000001" customHeight="1" x14ac:dyDescent="0.25">
      <c r="A15" s="83"/>
      <c r="B15" s="83"/>
      <c r="C15" s="83"/>
      <c r="D15" s="83"/>
      <c r="E15" s="83"/>
      <c r="F15" s="111"/>
      <c r="G15" s="111"/>
      <c r="H15" s="112"/>
      <c r="I15" s="112"/>
      <c r="J15" s="112"/>
      <c r="K15" s="112"/>
      <c r="L15" s="112"/>
      <c r="M15" s="112"/>
      <c r="N15" s="113"/>
      <c r="O15" s="113"/>
      <c r="P15" s="113"/>
      <c r="Q15" s="113"/>
      <c r="R15" s="117"/>
      <c r="S15" s="117"/>
      <c r="T15" s="117"/>
      <c r="U15" s="115"/>
      <c r="V15" s="116"/>
    </row>
    <row r="16" spans="1:22" s="86" customFormat="1" ht="20.100000000000001" customHeight="1" x14ac:dyDescent="0.25">
      <c r="A16" s="83"/>
      <c r="B16" s="83"/>
      <c r="C16" s="83"/>
      <c r="D16" s="83"/>
      <c r="E16" s="83"/>
      <c r="F16" s="118"/>
      <c r="G16" s="118"/>
      <c r="H16" s="119"/>
      <c r="I16" s="119"/>
      <c r="J16" s="119"/>
      <c r="K16" s="119"/>
      <c r="L16" s="119"/>
      <c r="M16" s="119"/>
      <c r="N16" s="113"/>
      <c r="O16" s="120"/>
      <c r="P16" s="120"/>
      <c r="Q16" s="120"/>
      <c r="R16" s="117"/>
      <c r="S16" s="117"/>
      <c r="T16" s="117"/>
      <c r="U16" s="115"/>
      <c r="V16" s="116"/>
    </row>
    <row r="17" spans="1:22" s="86" customFormat="1" ht="20.100000000000001" customHeight="1" x14ac:dyDescent="0.25">
      <c r="A17" s="83"/>
      <c r="B17" s="83"/>
      <c r="C17" s="83"/>
      <c r="D17" s="83"/>
      <c r="E17" s="83"/>
      <c r="F17" s="118"/>
      <c r="G17" s="118"/>
      <c r="H17" s="119"/>
      <c r="I17" s="119"/>
      <c r="J17" s="119"/>
      <c r="K17" s="119"/>
      <c r="L17" s="119"/>
      <c r="M17" s="119"/>
      <c r="N17" s="113"/>
      <c r="O17" s="120"/>
      <c r="P17" s="120"/>
      <c r="Q17" s="120"/>
      <c r="R17" s="117"/>
      <c r="S17" s="117"/>
      <c r="T17" s="117"/>
      <c r="U17" s="115"/>
      <c r="V17" s="116"/>
    </row>
    <row r="18" spans="1:22" s="86" customFormat="1" ht="20.100000000000001" customHeight="1" x14ac:dyDescent="0.25">
      <c r="A18" s="83"/>
      <c r="B18" s="83"/>
      <c r="C18" s="83"/>
      <c r="D18" s="83"/>
      <c r="E18" s="83"/>
      <c r="F18" s="118"/>
      <c r="G18" s="118"/>
      <c r="H18" s="119"/>
      <c r="I18" s="119"/>
      <c r="J18" s="119"/>
      <c r="K18" s="119"/>
      <c r="L18" s="119"/>
      <c r="M18" s="119"/>
      <c r="N18" s="113"/>
      <c r="O18" s="120"/>
      <c r="P18" s="120"/>
      <c r="Q18" s="120"/>
      <c r="R18" s="117"/>
      <c r="S18" s="117"/>
      <c r="T18" s="117"/>
      <c r="U18" s="115"/>
      <c r="V18" s="116"/>
    </row>
    <row r="19" spans="1:22" s="86" customFormat="1" ht="20.100000000000001" customHeight="1" x14ac:dyDescent="0.25">
      <c r="A19" s="83"/>
      <c r="B19" s="83"/>
      <c r="C19" s="83"/>
      <c r="D19" s="83"/>
      <c r="E19" s="83"/>
      <c r="F19" s="118"/>
      <c r="G19" s="118"/>
      <c r="H19" s="119"/>
      <c r="I19" s="119"/>
      <c r="J19" s="119"/>
      <c r="K19" s="119"/>
      <c r="L19" s="119"/>
      <c r="M19" s="119"/>
      <c r="N19" s="113"/>
      <c r="O19" s="120"/>
      <c r="P19" s="120"/>
      <c r="Q19" s="120"/>
      <c r="R19" s="117"/>
      <c r="S19" s="117"/>
      <c r="T19" s="117"/>
      <c r="U19" s="115"/>
      <c r="V19" s="116"/>
    </row>
    <row r="20" spans="1:22" s="86" customFormat="1" ht="20.100000000000001" customHeight="1" x14ac:dyDescent="0.25">
      <c r="A20" s="83"/>
      <c r="B20" s="83"/>
      <c r="C20" s="83"/>
      <c r="D20" s="83"/>
      <c r="E20" s="83"/>
      <c r="F20" s="118"/>
      <c r="G20" s="118"/>
      <c r="H20" s="119"/>
      <c r="I20" s="119"/>
      <c r="J20" s="119"/>
      <c r="K20" s="119"/>
      <c r="L20" s="119"/>
      <c r="M20" s="119"/>
      <c r="N20" s="113"/>
      <c r="O20" s="120"/>
      <c r="P20" s="120"/>
      <c r="Q20" s="120"/>
      <c r="R20" s="117"/>
      <c r="S20" s="117"/>
      <c r="T20" s="117"/>
      <c r="U20" s="115"/>
      <c r="V20" s="116"/>
    </row>
    <row r="21" spans="1:22" s="86" customFormat="1" ht="20.100000000000001" customHeight="1" x14ac:dyDescent="0.25">
      <c r="A21" s="87"/>
      <c r="B21" s="87"/>
      <c r="C21" s="87"/>
      <c r="D21" s="87"/>
      <c r="E21" s="87"/>
      <c r="F21" s="87"/>
      <c r="G21" s="87"/>
      <c r="H21" s="88"/>
      <c r="I21" s="88"/>
      <c r="J21" s="88"/>
      <c r="K21" s="88"/>
      <c r="L21" s="88"/>
      <c r="M21" s="88"/>
      <c r="N21" s="50"/>
      <c r="O21" s="89"/>
      <c r="P21" s="89"/>
      <c r="Q21" s="89"/>
      <c r="R21" s="85"/>
      <c r="S21" s="85"/>
      <c r="T21" s="85"/>
      <c r="U21" s="90"/>
      <c r="V21" s="122"/>
    </row>
    <row r="22" spans="1:22" s="91" customFormat="1" ht="20.100000000000001" customHeight="1" x14ac:dyDescent="0.25">
      <c r="A22" s="81"/>
      <c r="B22" s="81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/>
      <c r="T22" s="81"/>
      <c r="U22" s="121"/>
      <c r="V22" s="70"/>
    </row>
    <row r="23" spans="1:22" s="40" customFormat="1" ht="20.100000000000001" customHeight="1" x14ac:dyDescent="0.25">
      <c r="A23" s="38"/>
      <c r="B23" s="38"/>
      <c r="C23" s="38"/>
      <c r="D23" s="38"/>
      <c r="E23" s="38"/>
      <c r="F23" s="100"/>
      <c r="G23" s="100"/>
      <c r="H23" s="101"/>
      <c r="I23" s="101"/>
      <c r="J23" s="101"/>
      <c r="K23" s="101"/>
      <c r="L23" s="101"/>
      <c r="M23" s="101"/>
      <c r="N23" s="102"/>
      <c r="O23" s="102"/>
      <c r="P23" s="102"/>
      <c r="Q23" s="102"/>
      <c r="R23" s="103"/>
      <c r="S23" s="103"/>
      <c r="T23" s="103"/>
      <c r="U23" s="104"/>
      <c r="V23" s="125"/>
    </row>
    <row r="24" spans="1:22" ht="20.100000000000001" customHeight="1" x14ac:dyDescent="0.25">
      <c r="A24" s="128"/>
      <c r="B24" s="128"/>
      <c r="C24" s="128"/>
      <c r="D24" s="128"/>
      <c r="E24" s="128"/>
      <c r="F24" s="68"/>
      <c r="G24" s="68"/>
      <c r="H24" s="106"/>
      <c r="I24" s="106"/>
      <c r="J24" s="106"/>
      <c r="K24" s="106"/>
      <c r="L24" s="106"/>
      <c r="M24" s="106"/>
      <c r="N24" s="106"/>
      <c r="O24" s="106"/>
      <c r="P24" s="106"/>
      <c r="Q24" s="129"/>
      <c r="R24" s="93"/>
      <c r="S24" s="93"/>
      <c r="T24" s="93"/>
      <c r="U24" s="94"/>
    </row>
    <row r="25" spans="1:22" ht="20.100000000000001" customHeight="1" x14ac:dyDescent="0.25">
      <c r="A25" s="161"/>
      <c r="B25" s="161"/>
      <c r="C25" s="161"/>
      <c r="D25" s="161"/>
      <c r="E25" s="161"/>
      <c r="F25" s="45"/>
      <c r="G25" s="45"/>
      <c r="H25" s="105"/>
      <c r="I25" s="105"/>
      <c r="J25" s="105"/>
      <c r="K25" s="105"/>
      <c r="L25" s="106"/>
      <c r="M25" s="106"/>
      <c r="N25" s="106"/>
      <c r="O25" s="106"/>
      <c r="P25" s="106"/>
      <c r="Q25" s="129"/>
      <c r="R25" s="93"/>
      <c r="S25" s="93"/>
      <c r="T25" s="93"/>
      <c r="U25" s="94"/>
    </row>
    <row r="26" spans="1:22" ht="20.100000000000001" customHeight="1" x14ac:dyDescent="0.25">
      <c r="D26" s="30"/>
      <c r="E26" s="30"/>
      <c r="F26" s="107"/>
      <c r="G26" s="107"/>
      <c r="H26" s="108"/>
      <c r="I26" s="108"/>
      <c r="J26" s="108"/>
      <c r="K26" s="108"/>
      <c r="L26" s="108"/>
      <c r="M26" s="108"/>
      <c r="N26" s="107"/>
      <c r="O26" s="107"/>
      <c r="P26" s="107"/>
      <c r="Q26" s="107"/>
    </row>
    <row r="27" spans="1:22" ht="20.100000000000001" customHeight="1" x14ac:dyDescent="0.25">
      <c r="D27" s="30"/>
      <c r="E27" s="30"/>
      <c r="F27" s="107"/>
      <c r="G27" s="107"/>
      <c r="H27" s="108"/>
      <c r="I27" s="108"/>
      <c r="J27" s="108"/>
      <c r="K27" s="108"/>
      <c r="L27" s="108"/>
      <c r="M27" s="108"/>
      <c r="N27" s="107"/>
      <c r="O27" s="107"/>
      <c r="P27" s="107"/>
      <c r="Q27" s="107"/>
    </row>
    <row r="28" spans="1:22" ht="20.100000000000001" customHeight="1" x14ac:dyDescent="0.25">
      <c r="D28" s="30"/>
      <c r="E28" s="30"/>
      <c r="F28" s="107"/>
      <c r="G28" s="107"/>
      <c r="H28" s="108"/>
      <c r="I28" s="108"/>
      <c r="J28" s="108"/>
      <c r="K28" s="108"/>
      <c r="L28" s="108"/>
      <c r="M28" s="108"/>
      <c r="N28" s="107"/>
      <c r="O28" s="107"/>
      <c r="P28" s="107"/>
      <c r="Q28" s="107"/>
    </row>
    <row r="29" spans="1:22" ht="20.100000000000001" customHeight="1" x14ac:dyDescent="0.25">
      <c r="D29" s="32"/>
      <c r="E29" s="32"/>
      <c r="F29" s="46"/>
      <c r="G29" s="46"/>
      <c r="H29" s="109"/>
      <c r="I29" s="109"/>
      <c r="J29" s="109"/>
      <c r="K29" s="109"/>
      <c r="L29" s="109"/>
      <c r="M29" s="109"/>
      <c r="N29" s="46"/>
      <c r="O29" s="46"/>
      <c r="P29" s="46"/>
      <c r="Q29" s="46"/>
      <c r="R29" s="46"/>
    </row>
    <row r="30" spans="1:22" ht="20.100000000000001" customHeight="1" x14ac:dyDescent="0.25"/>
    <row r="31" spans="1:22" ht="20.100000000000001" customHeight="1" x14ac:dyDescent="0.25"/>
    <row r="32" spans="1:22" ht="20.100000000000001" customHeight="1" x14ac:dyDescent="0.25"/>
    <row r="33" spans="6:22" s="6" customFormat="1" ht="20.100000000000001" customHeight="1" x14ac:dyDescent="0.25">
      <c r="F33" s="28"/>
      <c r="G33" s="28"/>
      <c r="H33" s="92"/>
      <c r="I33" s="92"/>
      <c r="J33" s="92"/>
      <c r="K33" s="92"/>
      <c r="L33" s="92"/>
      <c r="M33" s="92"/>
      <c r="N33" s="93"/>
      <c r="O33" s="93"/>
      <c r="P33" s="93"/>
      <c r="Q33" s="93"/>
      <c r="R33" s="94"/>
      <c r="S33" s="28"/>
      <c r="T33" s="28"/>
      <c r="U33" s="110"/>
      <c r="V33" s="126"/>
    </row>
    <row r="34" spans="6:22" s="6" customFormat="1" ht="20.100000000000001" customHeight="1" x14ac:dyDescent="0.25">
      <c r="F34" s="28"/>
      <c r="G34" s="28"/>
      <c r="H34" s="92"/>
      <c r="I34" s="92"/>
      <c r="J34" s="92"/>
      <c r="K34" s="92"/>
      <c r="L34" s="92"/>
      <c r="M34" s="92"/>
      <c r="N34" s="93"/>
      <c r="O34" s="93"/>
      <c r="P34" s="93"/>
      <c r="Q34" s="93"/>
      <c r="R34" s="94"/>
      <c r="S34" s="28"/>
      <c r="T34" s="28"/>
      <c r="U34" s="110"/>
      <c r="V34" s="126"/>
    </row>
    <row r="35" spans="6:22" s="6" customFormat="1" ht="20.100000000000001" customHeight="1" x14ac:dyDescent="0.25">
      <c r="F35" s="28"/>
      <c r="G35" s="28"/>
      <c r="H35" s="92"/>
      <c r="I35" s="92"/>
      <c r="J35" s="92"/>
      <c r="K35" s="92"/>
      <c r="L35" s="92"/>
      <c r="M35" s="92"/>
      <c r="N35" s="93"/>
      <c r="O35" s="93"/>
      <c r="P35" s="93"/>
      <c r="Q35" s="93"/>
      <c r="R35" s="94"/>
      <c r="S35" s="28"/>
      <c r="T35" s="28"/>
      <c r="U35" s="110"/>
      <c r="V35" s="126"/>
    </row>
    <row r="36" spans="6:22" s="6" customFormat="1" ht="20.100000000000001" customHeight="1" x14ac:dyDescent="0.25">
      <c r="F36" s="28"/>
      <c r="G36" s="28"/>
      <c r="H36" s="92"/>
      <c r="I36" s="92"/>
      <c r="J36" s="92"/>
      <c r="K36" s="92"/>
      <c r="L36" s="92"/>
      <c r="M36" s="92"/>
      <c r="N36" s="93"/>
      <c r="O36" s="93"/>
      <c r="P36" s="93"/>
      <c r="Q36" s="93"/>
      <c r="R36" s="94"/>
      <c r="S36" s="28"/>
      <c r="T36" s="28"/>
      <c r="U36" s="110"/>
      <c r="V36" s="126"/>
    </row>
    <row r="37" spans="6:22" s="6" customFormat="1" ht="20.100000000000001" customHeight="1" x14ac:dyDescent="0.25">
      <c r="F37" s="28"/>
      <c r="G37" s="28"/>
      <c r="H37" s="92"/>
      <c r="I37" s="92"/>
      <c r="J37" s="92"/>
      <c r="K37" s="92"/>
      <c r="L37" s="92"/>
      <c r="M37" s="92"/>
      <c r="N37" s="93"/>
      <c r="O37" s="93"/>
      <c r="P37" s="93"/>
      <c r="Q37" s="93"/>
      <c r="R37" s="94"/>
      <c r="S37" s="28"/>
      <c r="T37" s="28"/>
      <c r="U37" s="110"/>
      <c r="V37" s="126"/>
    </row>
    <row r="38" spans="6:22" s="6" customFormat="1" ht="20.100000000000001" customHeight="1" x14ac:dyDescent="0.25">
      <c r="F38" s="28"/>
      <c r="G38" s="28"/>
      <c r="H38" s="92"/>
      <c r="I38" s="92"/>
      <c r="J38" s="92"/>
      <c r="K38" s="92"/>
      <c r="L38" s="92"/>
      <c r="M38" s="92"/>
      <c r="N38" s="93"/>
      <c r="O38" s="93"/>
      <c r="P38" s="93"/>
      <c r="Q38" s="93"/>
      <c r="R38" s="94"/>
      <c r="S38" s="28"/>
      <c r="T38" s="28"/>
      <c r="U38" s="110"/>
      <c r="V38" s="126"/>
    </row>
    <row r="39" spans="6:22" s="6" customFormat="1" ht="20.100000000000001" customHeight="1" x14ac:dyDescent="0.25">
      <c r="F39" s="28"/>
      <c r="G39" s="28"/>
      <c r="H39" s="92"/>
      <c r="I39" s="92"/>
      <c r="J39" s="92"/>
      <c r="K39" s="92"/>
      <c r="L39" s="92"/>
      <c r="M39" s="92"/>
      <c r="N39" s="93"/>
      <c r="O39" s="93"/>
      <c r="P39" s="93"/>
      <c r="Q39" s="93"/>
      <c r="R39" s="94"/>
      <c r="S39" s="28"/>
      <c r="T39" s="28"/>
      <c r="U39" s="110"/>
      <c r="V39" s="126"/>
    </row>
    <row r="40" spans="6:22" s="6" customFormat="1" ht="20.100000000000001" customHeight="1" x14ac:dyDescent="0.25">
      <c r="F40" s="28"/>
      <c r="G40" s="28"/>
      <c r="H40" s="92"/>
      <c r="I40" s="92"/>
      <c r="J40" s="92"/>
      <c r="K40" s="92"/>
      <c r="L40" s="92"/>
      <c r="M40" s="92"/>
      <c r="N40" s="93"/>
      <c r="O40" s="93"/>
      <c r="P40" s="93"/>
      <c r="Q40" s="93"/>
      <c r="R40" s="94"/>
      <c r="S40" s="28"/>
      <c r="T40" s="28"/>
      <c r="U40" s="110"/>
      <c r="V40" s="126"/>
    </row>
    <row r="41" spans="6:22" s="6" customFormat="1" ht="20.100000000000001" customHeight="1" x14ac:dyDescent="0.25">
      <c r="F41" s="28"/>
      <c r="G41" s="28"/>
      <c r="H41" s="92"/>
      <c r="I41" s="92"/>
      <c r="J41" s="92"/>
      <c r="K41" s="92"/>
      <c r="L41" s="92"/>
      <c r="M41" s="92"/>
      <c r="N41" s="93"/>
      <c r="O41" s="93"/>
      <c r="P41" s="93"/>
      <c r="Q41" s="93"/>
      <c r="R41" s="94"/>
      <c r="S41" s="28"/>
      <c r="T41" s="28"/>
      <c r="U41" s="110"/>
      <c r="V41" s="126"/>
    </row>
    <row r="42" spans="6:22" s="6" customFormat="1" ht="20.100000000000001" customHeight="1" x14ac:dyDescent="0.25">
      <c r="F42" s="28"/>
      <c r="G42" s="28"/>
      <c r="H42" s="92"/>
      <c r="I42" s="92"/>
      <c r="J42" s="92"/>
      <c r="K42" s="92"/>
      <c r="L42" s="92"/>
      <c r="M42" s="92"/>
      <c r="N42" s="93"/>
      <c r="O42" s="93"/>
      <c r="P42" s="93"/>
      <c r="Q42" s="93"/>
      <c r="R42" s="94"/>
      <c r="S42" s="28"/>
      <c r="T42" s="28"/>
      <c r="U42" s="110"/>
      <c r="V42" s="126"/>
    </row>
    <row r="43" spans="6:22" s="6" customFormat="1" ht="20.100000000000001" customHeight="1" x14ac:dyDescent="0.25">
      <c r="F43" s="28"/>
      <c r="G43" s="28"/>
      <c r="H43" s="92"/>
      <c r="I43" s="92"/>
      <c r="J43" s="92"/>
      <c r="K43" s="92"/>
      <c r="L43" s="92"/>
      <c r="M43" s="92"/>
      <c r="N43" s="93"/>
      <c r="O43" s="93"/>
      <c r="P43" s="93"/>
      <c r="Q43" s="93"/>
      <c r="R43" s="94"/>
      <c r="S43" s="28"/>
      <c r="T43" s="28"/>
      <c r="U43" s="110"/>
      <c r="V43" s="126"/>
    </row>
    <row r="44" spans="6:22" s="6" customFormat="1" ht="20.100000000000001" customHeight="1" x14ac:dyDescent="0.25">
      <c r="F44" s="28"/>
      <c r="G44" s="28"/>
      <c r="H44" s="92"/>
      <c r="I44" s="92"/>
      <c r="J44" s="92"/>
      <c r="K44" s="92"/>
      <c r="L44" s="92"/>
      <c r="M44" s="92"/>
      <c r="N44" s="93"/>
      <c r="O44" s="93"/>
      <c r="P44" s="93"/>
      <c r="Q44" s="93"/>
      <c r="R44" s="94"/>
      <c r="S44" s="28"/>
      <c r="T44" s="28"/>
      <c r="U44" s="110"/>
      <c r="V44" s="126"/>
    </row>
    <row r="45" spans="6:22" s="6" customFormat="1" ht="20.100000000000001" customHeight="1" x14ac:dyDescent="0.25">
      <c r="F45" s="28"/>
      <c r="G45" s="28"/>
      <c r="H45" s="92"/>
      <c r="I45" s="92"/>
      <c r="J45" s="92"/>
      <c r="K45" s="92"/>
      <c r="L45" s="92"/>
      <c r="M45" s="92"/>
      <c r="N45" s="93"/>
      <c r="O45" s="93"/>
      <c r="P45" s="93"/>
      <c r="Q45" s="93"/>
      <c r="R45" s="94"/>
      <c r="S45" s="28"/>
      <c r="T45" s="28"/>
      <c r="U45" s="110"/>
      <c r="V45" s="126"/>
    </row>
    <row r="46" spans="6:22" s="6" customFormat="1" ht="20.100000000000001" customHeight="1" x14ac:dyDescent="0.25">
      <c r="F46" s="28"/>
      <c r="G46" s="28"/>
      <c r="H46" s="92"/>
      <c r="I46" s="92"/>
      <c r="J46" s="92"/>
      <c r="K46" s="92"/>
      <c r="L46" s="92"/>
      <c r="M46" s="92"/>
      <c r="N46" s="93"/>
      <c r="O46" s="93"/>
      <c r="P46" s="93"/>
      <c r="Q46" s="93"/>
      <c r="R46" s="94"/>
      <c r="S46" s="28"/>
      <c r="T46" s="28"/>
      <c r="U46" s="110"/>
      <c r="V46" s="126"/>
    </row>
    <row r="47" spans="6:22" s="6" customFormat="1" ht="20.100000000000001" customHeight="1" x14ac:dyDescent="0.25">
      <c r="F47" s="28"/>
      <c r="G47" s="28"/>
      <c r="H47" s="92"/>
      <c r="I47" s="92"/>
      <c r="J47" s="92"/>
      <c r="K47" s="92"/>
      <c r="L47" s="92"/>
      <c r="M47" s="92"/>
      <c r="N47" s="93"/>
      <c r="O47" s="93"/>
      <c r="P47" s="93"/>
      <c r="Q47" s="93"/>
      <c r="R47" s="94"/>
      <c r="S47" s="28"/>
      <c r="T47" s="28"/>
      <c r="U47" s="110"/>
      <c r="V47" s="126"/>
    </row>
    <row r="48" spans="6:22" s="6" customFormat="1" ht="20.100000000000001" customHeight="1" x14ac:dyDescent="0.25">
      <c r="F48" s="28"/>
      <c r="G48" s="28"/>
      <c r="H48" s="92"/>
      <c r="I48" s="92"/>
      <c r="J48" s="92"/>
      <c r="K48" s="92"/>
      <c r="L48" s="92"/>
      <c r="M48" s="92"/>
      <c r="N48" s="93"/>
      <c r="O48" s="93"/>
      <c r="P48" s="93"/>
      <c r="Q48" s="93"/>
      <c r="R48" s="94"/>
      <c r="S48" s="28"/>
      <c r="T48" s="28"/>
      <c r="U48" s="110"/>
      <c r="V48" s="126"/>
    </row>
    <row r="49" spans="6:22" s="6" customFormat="1" ht="20.100000000000001" customHeight="1" x14ac:dyDescent="0.25">
      <c r="F49" s="28"/>
      <c r="G49" s="28"/>
      <c r="H49" s="92"/>
      <c r="I49" s="92"/>
      <c r="J49" s="92"/>
      <c r="K49" s="92"/>
      <c r="L49" s="92"/>
      <c r="M49" s="92"/>
      <c r="N49" s="93"/>
      <c r="O49" s="93"/>
      <c r="P49" s="93"/>
      <c r="Q49" s="93"/>
      <c r="R49" s="94"/>
      <c r="S49" s="28"/>
      <c r="T49" s="28"/>
      <c r="U49" s="110"/>
      <c r="V49" s="126"/>
    </row>
    <row r="50" spans="6:22" s="6" customFormat="1" ht="20.100000000000001" customHeight="1" x14ac:dyDescent="0.25">
      <c r="F50" s="28"/>
      <c r="G50" s="28"/>
      <c r="H50" s="92"/>
      <c r="I50" s="92"/>
      <c r="J50" s="92"/>
      <c r="K50" s="92"/>
      <c r="L50" s="92"/>
      <c r="M50" s="92"/>
      <c r="N50" s="93"/>
      <c r="O50" s="93"/>
      <c r="P50" s="93"/>
      <c r="Q50" s="93"/>
      <c r="R50" s="94"/>
      <c r="S50" s="28"/>
      <c r="T50" s="28"/>
      <c r="U50" s="110"/>
      <c r="V50" s="126"/>
    </row>
    <row r="51" spans="6:22" s="6" customFormat="1" ht="20.100000000000001" customHeight="1" x14ac:dyDescent="0.25">
      <c r="F51" s="28"/>
      <c r="G51" s="28"/>
      <c r="H51" s="92"/>
      <c r="I51" s="92"/>
      <c r="J51" s="92"/>
      <c r="K51" s="92"/>
      <c r="L51" s="92"/>
      <c r="M51" s="92"/>
      <c r="N51" s="93"/>
      <c r="O51" s="93"/>
      <c r="P51" s="93"/>
      <c r="Q51" s="93"/>
      <c r="R51" s="94"/>
      <c r="S51" s="28"/>
      <c r="T51" s="28"/>
      <c r="U51" s="110"/>
      <c r="V51" s="126"/>
    </row>
    <row r="52" spans="6:22" s="6" customFormat="1" ht="20.100000000000001" customHeight="1" x14ac:dyDescent="0.25">
      <c r="F52" s="28"/>
      <c r="G52" s="28"/>
      <c r="H52" s="92"/>
      <c r="I52" s="92"/>
      <c r="J52" s="92"/>
      <c r="K52" s="92"/>
      <c r="L52" s="92"/>
      <c r="M52" s="92"/>
      <c r="N52" s="93"/>
      <c r="O52" s="93"/>
      <c r="P52" s="93"/>
      <c r="Q52" s="93"/>
      <c r="R52" s="94"/>
      <c r="S52" s="28"/>
      <c r="T52" s="28"/>
      <c r="U52" s="110"/>
      <c r="V52" s="126"/>
    </row>
    <row r="53" spans="6:22" s="6" customFormat="1" ht="20.100000000000001" customHeight="1" x14ac:dyDescent="0.25">
      <c r="F53" s="28"/>
      <c r="G53" s="28"/>
      <c r="H53" s="92"/>
      <c r="I53" s="92"/>
      <c r="J53" s="92"/>
      <c r="K53" s="92"/>
      <c r="L53" s="92"/>
      <c r="M53" s="92"/>
      <c r="N53" s="93"/>
      <c r="O53" s="93"/>
      <c r="P53" s="93"/>
      <c r="Q53" s="93"/>
      <c r="R53" s="94"/>
      <c r="S53" s="28"/>
      <c r="T53" s="28"/>
      <c r="U53" s="110"/>
      <c r="V53" s="126"/>
    </row>
    <row r="54" spans="6:22" s="6" customFormat="1" ht="20.100000000000001" customHeight="1" x14ac:dyDescent="0.25">
      <c r="F54" s="28"/>
      <c r="G54" s="28"/>
      <c r="H54" s="92"/>
      <c r="I54" s="92"/>
      <c r="J54" s="92"/>
      <c r="K54" s="92"/>
      <c r="L54" s="92"/>
      <c r="M54" s="92"/>
      <c r="N54" s="93"/>
      <c r="O54" s="93"/>
      <c r="P54" s="93"/>
      <c r="Q54" s="93"/>
      <c r="R54" s="94"/>
      <c r="S54" s="28"/>
      <c r="T54" s="28"/>
      <c r="U54" s="110"/>
      <c r="V54" s="126"/>
    </row>
    <row r="55" spans="6:22" s="6" customFormat="1" ht="20.100000000000001" customHeight="1" x14ac:dyDescent="0.25">
      <c r="F55" s="28"/>
      <c r="G55" s="28"/>
      <c r="H55" s="92"/>
      <c r="I55" s="92"/>
      <c r="J55" s="92"/>
      <c r="K55" s="92"/>
      <c r="L55" s="92"/>
      <c r="M55" s="92"/>
      <c r="N55" s="93"/>
      <c r="O55" s="93"/>
      <c r="P55" s="93"/>
      <c r="Q55" s="93"/>
      <c r="R55" s="94"/>
      <c r="S55" s="28"/>
      <c r="T55" s="28"/>
      <c r="U55" s="110"/>
      <c r="V55" s="126"/>
    </row>
    <row r="56" spans="6:22" s="6" customFormat="1" ht="20.100000000000001" customHeight="1" x14ac:dyDescent="0.25">
      <c r="F56" s="28"/>
      <c r="G56" s="28"/>
      <c r="H56" s="92"/>
      <c r="I56" s="92"/>
      <c r="J56" s="92"/>
      <c r="K56" s="92"/>
      <c r="L56" s="92"/>
      <c r="M56" s="92"/>
      <c r="N56" s="93"/>
      <c r="O56" s="93"/>
      <c r="P56" s="93"/>
      <c r="Q56" s="93"/>
      <c r="R56" s="94"/>
      <c r="S56" s="28"/>
      <c r="T56" s="28"/>
      <c r="U56" s="110"/>
      <c r="V56" s="126"/>
    </row>
    <row r="57" spans="6:22" s="6" customFormat="1" ht="20.100000000000001" customHeight="1" x14ac:dyDescent="0.25">
      <c r="F57" s="28"/>
      <c r="G57" s="28"/>
      <c r="H57" s="92"/>
      <c r="I57" s="92"/>
      <c r="J57" s="92"/>
      <c r="K57" s="92"/>
      <c r="L57" s="92"/>
      <c r="M57" s="92"/>
      <c r="N57" s="93"/>
      <c r="O57" s="93"/>
      <c r="P57" s="93"/>
      <c r="Q57" s="93"/>
      <c r="R57" s="94"/>
      <c r="S57" s="28"/>
      <c r="T57" s="28"/>
      <c r="U57" s="110"/>
      <c r="V57" s="126"/>
    </row>
    <row r="58" spans="6:22" s="6" customFormat="1" ht="20.100000000000001" customHeight="1" x14ac:dyDescent="0.25">
      <c r="F58" s="28"/>
      <c r="G58" s="28"/>
      <c r="H58" s="92"/>
      <c r="I58" s="92"/>
      <c r="J58" s="92"/>
      <c r="K58" s="92"/>
      <c r="L58" s="92"/>
      <c r="M58" s="92"/>
      <c r="N58" s="93"/>
      <c r="O58" s="93"/>
      <c r="P58" s="93"/>
      <c r="Q58" s="93"/>
      <c r="R58" s="94"/>
      <c r="S58" s="28"/>
      <c r="T58" s="28"/>
      <c r="U58" s="110"/>
      <c r="V58" s="126"/>
    </row>
    <row r="59" spans="6:22" s="6" customFormat="1" ht="20.100000000000001" customHeight="1" x14ac:dyDescent="0.25">
      <c r="F59" s="28"/>
      <c r="G59" s="28"/>
      <c r="H59" s="92"/>
      <c r="I59" s="92"/>
      <c r="J59" s="92"/>
      <c r="K59" s="92"/>
      <c r="L59" s="92"/>
      <c r="M59" s="92"/>
      <c r="N59" s="93"/>
      <c r="O59" s="93"/>
      <c r="P59" s="93"/>
      <c r="Q59" s="93"/>
      <c r="R59" s="94"/>
      <c r="S59" s="28"/>
      <c r="T59" s="28"/>
      <c r="U59" s="110"/>
      <c r="V59" s="126"/>
    </row>
    <row r="60" spans="6:22" s="6" customFormat="1" ht="20.100000000000001" customHeight="1" x14ac:dyDescent="0.25">
      <c r="F60" s="28"/>
      <c r="G60" s="28"/>
      <c r="H60" s="92"/>
      <c r="I60" s="92"/>
      <c r="J60" s="92"/>
      <c r="K60" s="92"/>
      <c r="L60" s="92"/>
      <c r="M60" s="92"/>
      <c r="N60" s="93"/>
      <c r="O60" s="93"/>
      <c r="P60" s="93"/>
      <c r="Q60" s="93"/>
      <c r="R60" s="94"/>
      <c r="S60" s="28"/>
      <c r="T60" s="28"/>
      <c r="U60" s="110"/>
      <c r="V60" s="126"/>
    </row>
    <row r="61" spans="6:22" s="6" customFormat="1" ht="20.100000000000001" customHeight="1" x14ac:dyDescent="0.25">
      <c r="F61" s="28"/>
      <c r="G61" s="28"/>
      <c r="H61" s="92"/>
      <c r="I61" s="92"/>
      <c r="J61" s="92"/>
      <c r="K61" s="92"/>
      <c r="L61" s="92"/>
      <c r="M61" s="92"/>
      <c r="N61" s="93"/>
      <c r="O61" s="93"/>
      <c r="P61" s="93"/>
      <c r="Q61" s="93"/>
      <c r="R61" s="94"/>
      <c r="S61" s="28"/>
      <c r="T61" s="28"/>
      <c r="U61" s="110"/>
      <c r="V61" s="126"/>
    </row>
    <row r="62" spans="6:22" s="6" customFormat="1" ht="20.100000000000001" customHeight="1" x14ac:dyDescent="0.25">
      <c r="F62" s="28"/>
      <c r="G62" s="28"/>
      <c r="H62" s="92"/>
      <c r="I62" s="92"/>
      <c r="J62" s="92"/>
      <c r="K62" s="92"/>
      <c r="L62" s="92"/>
      <c r="M62" s="92"/>
      <c r="N62" s="93"/>
      <c r="O62" s="93"/>
      <c r="P62" s="93"/>
      <c r="Q62" s="93"/>
      <c r="R62" s="94"/>
      <c r="S62" s="28"/>
      <c r="T62" s="28"/>
      <c r="U62" s="110"/>
      <c r="V62" s="126"/>
    </row>
    <row r="63" spans="6:22" s="6" customFormat="1" ht="20.100000000000001" customHeight="1" x14ac:dyDescent="0.25">
      <c r="F63" s="28"/>
      <c r="G63" s="28"/>
      <c r="H63" s="92"/>
      <c r="I63" s="92"/>
      <c r="J63" s="92"/>
      <c r="K63" s="92"/>
      <c r="L63" s="92"/>
      <c r="M63" s="92"/>
      <c r="N63" s="93"/>
      <c r="O63" s="93"/>
      <c r="P63" s="93"/>
      <c r="Q63" s="93"/>
      <c r="R63" s="94"/>
      <c r="S63" s="28"/>
      <c r="T63" s="28"/>
      <c r="U63" s="110"/>
      <c r="V63" s="126"/>
    </row>
    <row r="64" spans="6:22" s="6" customFormat="1" ht="20.100000000000001" customHeight="1" x14ac:dyDescent="0.25">
      <c r="F64" s="28"/>
      <c r="G64" s="28"/>
      <c r="H64" s="92"/>
      <c r="I64" s="92"/>
      <c r="J64" s="92"/>
      <c r="K64" s="92"/>
      <c r="L64" s="92"/>
      <c r="M64" s="92"/>
      <c r="N64" s="93"/>
      <c r="O64" s="93"/>
      <c r="P64" s="93"/>
      <c r="Q64" s="93"/>
      <c r="R64" s="94"/>
      <c r="S64" s="28"/>
      <c r="T64" s="28"/>
      <c r="U64" s="110"/>
      <c r="V64" s="126"/>
    </row>
    <row r="65" spans="6:22" s="6" customFormat="1" ht="20.100000000000001" customHeight="1" x14ac:dyDescent="0.25">
      <c r="F65" s="28"/>
      <c r="G65" s="28"/>
      <c r="H65" s="92"/>
      <c r="I65" s="92"/>
      <c r="J65" s="92"/>
      <c r="K65" s="92"/>
      <c r="L65" s="92"/>
      <c r="M65" s="92"/>
      <c r="N65" s="93"/>
      <c r="O65" s="93"/>
      <c r="P65" s="93"/>
      <c r="Q65" s="93"/>
      <c r="R65" s="94"/>
      <c r="S65" s="28"/>
      <c r="T65" s="28"/>
      <c r="U65" s="110"/>
      <c r="V65" s="126"/>
    </row>
    <row r="66" spans="6:22" s="6" customFormat="1" ht="20.100000000000001" customHeight="1" x14ac:dyDescent="0.25">
      <c r="F66" s="28"/>
      <c r="G66" s="28"/>
      <c r="H66" s="92"/>
      <c r="I66" s="92"/>
      <c r="J66" s="92"/>
      <c r="K66" s="92"/>
      <c r="L66" s="92"/>
      <c r="M66" s="92"/>
      <c r="N66" s="93"/>
      <c r="O66" s="93"/>
      <c r="P66" s="93"/>
      <c r="Q66" s="93"/>
      <c r="R66" s="94"/>
      <c r="S66" s="28"/>
      <c r="T66" s="28"/>
      <c r="U66" s="110"/>
      <c r="V66" s="126"/>
    </row>
    <row r="67" spans="6:22" s="6" customFormat="1" ht="20.100000000000001" customHeight="1" x14ac:dyDescent="0.25">
      <c r="F67" s="28"/>
      <c r="G67" s="28"/>
      <c r="H67" s="92"/>
      <c r="I67" s="92"/>
      <c r="J67" s="92"/>
      <c r="K67" s="92"/>
      <c r="L67" s="92"/>
      <c r="M67" s="92"/>
      <c r="N67" s="93"/>
      <c r="O67" s="93"/>
      <c r="P67" s="93"/>
      <c r="Q67" s="93"/>
      <c r="R67" s="94"/>
      <c r="S67" s="28"/>
      <c r="T67" s="28"/>
      <c r="U67" s="110"/>
      <c r="V67" s="126"/>
    </row>
    <row r="68" spans="6:22" s="6" customFormat="1" ht="20.100000000000001" customHeight="1" x14ac:dyDescent="0.25">
      <c r="F68" s="28"/>
      <c r="G68" s="28"/>
      <c r="H68" s="92"/>
      <c r="I68" s="92"/>
      <c r="J68" s="92"/>
      <c r="K68" s="92"/>
      <c r="L68" s="92"/>
      <c r="M68" s="92"/>
      <c r="N68" s="93"/>
      <c r="O68" s="93"/>
      <c r="P68" s="93"/>
      <c r="Q68" s="93"/>
      <c r="R68" s="94"/>
      <c r="S68" s="28"/>
      <c r="T68" s="28"/>
      <c r="U68" s="110"/>
      <c r="V68" s="126"/>
    </row>
    <row r="69" spans="6:22" s="6" customFormat="1" ht="20.100000000000001" customHeight="1" x14ac:dyDescent="0.25">
      <c r="F69" s="28"/>
      <c r="G69" s="28"/>
      <c r="H69" s="92"/>
      <c r="I69" s="92"/>
      <c r="J69" s="92"/>
      <c r="K69" s="92"/>
      <c r="L69" s="92"/>
      <c r="M69" s="92"/>
      <c r="N69" s="93"/>
      <c r="O69" s="93"/>
      <c r="P69" s="93"/>
      <c r="Q69" s="93"/>
      <c r="R69" s="94"/>
      <c r="S69" s="28"/>
      <c r="T69" s="28"/>
      <c r="U69" s="110"/>
      <c r="V69" s="126"/>
    </row>
    <row r="70" spans="6:22" s="6" customFormat="1" ht="20.100000000000001" customHeight="1" x14ac:dyDescent="0.25">
      <c r="F70" s="28"/>
      <c r="G70" s="28"/>
      <c r="H70" s="92"/>
      <c r="I70" s="92"/>
      <c r="J70" s="92"/>
      <c r="K70" s="92"/>
      <c r="L70" s="92"/>
      <c r="M70" s="92"/>
      <c r="N70" s="93"/>
      <c r="O70" s="93"/>
      <c r="P70" s="93"/>
      <c r="Q70" s="93"/>
      <c r="R70" s="94"/>
      <c r="S70" s="28"/>
      <c r="T70" s="28"/>
      <c r="U70" s="110"/>
      <c r="V70" s="126"/>
    </row>
    <row r="71" spans="6:22" s="6" customFormat="1" ht="20.100000000000001" customHeight="1" x14ac:dyDescent="0.25">
      <c r="F71" s="28"/>
      <c r="G71" s="28"/>
      <c r="H71" s="92"/>
      <c r="I71" s="92"/>
      <c r="J71" s="92"/>
      <c r="K71" s="92"/>
      <c r="L71" s="92"/>
      <c r="M71" s="92"/>
      <c r="N71" s="93"/>
      <c r="O71" s="93"/>
      <c r="P71" s="93"/>
      <c r="Q71" s="93"/>
      <c r="R71" s="94"/>
      <c r="S71" s="28"/>
      <c r="T71" s="28"/>
      <c r="U71" s="110"/>
      <c r="V71" s="126"/>
    </row>
    <row r="72" spans="6:22" s="6" customFormat="1" ht="20.100000000000001" customHeight="1" x14ac:dyDescent="0.25">
      <c r="F72" s="28"/>
      <c r="G72" s="28"/>
      <c r="H72" s="92"/>
      <c r="I72" s="92"/>
      <c r="J72" s="92"/>
      <c r="K72" s="92"/>
      <c r="L72" s="92"/>
      <c r="M72" s="92"/>
      <c r="N72" s="93"/>
      <c r="O72" s="93"/>
      <c r="P72" s="93"/>
      <c r="Q72" s="93"/>
      <c r="R72" s="94"/>
      <c r="S72" s="28"/>
      <c r="T72" s="28"/>
      <c r="U72" s="110"/>
      <c r="V72" s="126"/>
    </row>
    <row r="73" spans="6:22" s="6" customFormat="1" ht="20.100000000000001" customHeight="1" x14ac:dyDescent="0.25">
      <c r="F73" s="28"/>
      <c r="G73" s="28"/>
      <c r="H73" s="92"/>
      <c r="I73" s="92"/>
      <c r="J73" s="92"/>
      <c r="K73" s="92"/>
      <c r="L73" s="92"/>
      <c r="M73" s="92"/>
      <c r="N73" s="93"/>
      <c r="O73" s="93"/>
      <c r="P73" s="93"/>
      <c r="Q73" s="93"/>
      <c r="R73" s="94"/>
      <c r="S73" s="28"/>
      <c r="T73" s="28"/>
      <c r="U73" s="110"/>
      <c r="V73" s="126"/>
    </row>
    <row r="74" spans="6:22" s="6" customFormat="1" ht="20.100000000000001" customHeight="1" x14ac:dyDescent="0.25">
      <c r="F74" s="28"/>
      <c r="G74" s="28"/>
      <c r="H74" s="92"/>
      <c r="I74" s="92"/>
      <c r="J74" s="92"/>
      <c r="K74" s="92"/>
      <c r="L74" s="92"/>
      <c r="M74" s="92"/>
      <c r="N74" s="93"/>
      <c r="O74" s="93"/>
      <c r="P74" s="93"/>
      <c r="Q74" s="93"/>
      <c r="R74" s="94"/>
      <c r="S74" s="28"/>
      <c r="T74" s="28"/>
      <c r="U74" s="110"/>
      <c r="V74" s="126"/>
    </row>
    <row r="75" spans="6:22" s="6" customFormat="1" ht="20.100000000000001" customHeight="1" x14ac:dyDescent="0.25">
      <c r="F75" s="28"/>
      <c r="G75" s="28"/>
      <c r="H75" s="92"/>
      <c r="I75" s="92"/>
      <c r="J75" s="92"/>
      <c r="K75" s="92"/>
      <c r="L75" s="92"/>
      <c r="M75" s="92"/>
      <c r="N75" s="93"/>
      <c r="O75" s="93"/>
      <c r="P75" s="93"/>
      <c r="Q75" s="93"/>
      <c r="R75" s="94"/>
      <c r="S75" s="28"/>
      <c r="T75" s="28"/>
      <c r="U75" s="110"/>
      <c r="V75" s="126"/>
    </row>
    <row r="76" spans="6:22" s="6" customFormat="1" ht="20.100000000000001" customHeight="1" x14ac:dyDescent="0.25">
      <c r="F76" s="28"/>
      <c r="G76" s="28"/>
      <c r="H76" s="92"/>
      <c r="I76" s="92"/>
      <c r="J76" s="92"/>
      <c r="K76" s="92"/>
      <c r="L76" s="92"/>
      <c r="M76" s="92"/>
      <c r="N76" s="93"/>
      <c r="O76" s="93"/>
      <c r="P76" s="93"/>
      <c r="Q76" s="93"/>
      <c r="R76" s="94"/>
      <c r="S76" s="28"/>
      <c r="T76" s="28"/>
      <c r="U76" s="110"/>
      <c r="V76" s="126"/>
    </row>
    <row r="77" spans="6:22" s="6" customFormat="1" ht="20.100000000000001" customHeight="1" x14ac:dyDescent="0.25">
      <c r="F77" s="28"/>
      <c r="G77" s="28"/>
      <c r="H77" s="92"/>
      <c r="I77" s="92"/>
      <c r="J77" s="92"/>
      <c r="K77" s="92"/>
      <c r="L77" s="92"/>
      <c r="M77" s="92"/>
      <c r="N77" s="93"/>
      <c r="O77" s="93"/>
      <c r="P77" s="93"/>
      <c r="Q77" s="93"/>
      <c r="R77" s="94"/>
      <c r="S77" s="28"/>
      <c r="T77" s="28"/>
      <c r="U77" s="110"/>
      <c r="V77" s="126"/>
    </row>
    <row r="78" spans="6:22" s="6" customFormat="1" ht="20.100000000000001" customHeight="1" x14ac:dyDescent="0.25">
      <c r="F78" s="28"/>
      <c r="G78" s="28"/>
      <c r="H78" s="92"/>
      <c r="I78" s="92"/>
      <c r="J78" s="92"/>
      <c r="K78" s="92"/>
      <c r="L78" s="92"/>
      <c r="M78" s="92"/>
      <c r="N78" s="93"/>
      <c r="O78" s="93"/>
      <c r="P78" s="93"/>
      <c r="Q78" s="93"/>
      <c r="R78" s="94"/>
      <c r="S78" s="28"/>
      <c r="T78" s="28"/>
      <c r="U78" s="110"/>
      <c r="V78" s="126"/>
    </row>
    <row r="79" spans="6:22" s="6" customFormat="1" ht="20.100000000000001" customHeight="1" x14ac:dyDescent="0.25">
      <c r="F79" s="28"/>
      <c r="G79" s="28"/>
      <c r="H79" s="92"/>
      <c r="I79" s="92"/>
      <c r="J79" s="92"/>
      <c r="K79" s="92"/>
      <c r="L79" s="92"/>
      <c r="M79" s="92"/>
      <c r="N79" s="93"/>
      <c r="O79" s="93"/>
      <c r="P79" s="93"/>
      <c r="Q79" s="93"/>
      <c r="R79" s="94"/>
      <c r="S79" s="28"/>
      <c r="T79" s="28"/>
      <c r="U79" s="110"/>
      <c r="V79" s="126"/>
    </row>
    <row r="80" spans="6:22" s="6" customFormat="1" ht="20.100000000000001" customHeight="1" x14ac:dyDescent="0.25">
      <c r="F80" s="28"/>
      <c r="G80" s="28"/>
      <c r="H80" s="92"/>
      <c r="I80" s="92"/>
      <c r="J80" s="92"/>
      <c r="K80" s="92"/>
      <c r="L80" s="92"/>
      <c r="M80" s="92"/>
      <c r="N80" s="93"/>
      <c r="O80" s="93"/>
      <c r="P80" s="93"/>
      <c r="Q80" s="93"/>
      <c r="R80" s="94"/>
      <c r="S80" s="28"/>
      <c r="T80" s="28"/>
      <c r="U80" s="110"/>
      <c r="V80" s="126"/>
    </row>
    <row r="81" spans="6:22" s="6" customFormat="1" ht="20.100000000000001" customHeight="1" x14ac:dyDescent="0.25">
      <c r="F81" s="28"/>
      <c r="G81" s="28"/>
      <c r="H81" s="92"/>
      <c r="I81" s="92"/>
      <c r="J81" s="92"/>
      <c r="K81" s="92"/>
      <c r="L81" s="92"/>
      <c r="M81" s="92"/>
      <c r="N81" s="93"/>
      <c r="O81" s="93"/>
      <c r="P81" s="93"/>
      <c r="Q81" s="93"/>
      <c r="R81" s="94"/>
      <c r="S81" s="28"/>
      <c r="T81" s="28"/>
      <c r="U81" s="110"/>
      <c r="V81" s="126"/>
    </row>
    <row r="82" spans="6:22" s="6" customFormat="1" ht="20.100000000000001" customHeight="1" x14ac:dyDescent="0.25">
      <c r="F82" s="28"/>
      <c r="G82" s="28"/>
      <c r="H82" s="92"/>
      <c r="I82" s="92"/>
      <c r="J82" s="92"/>
      <c r="K82" s="92"/>
      <c r="L82" s="92"/>
      <c r="M82" s="92"/>
      <c r="N82" s="93"/>
      <c r="O82" s="93"/>
      <c r="P82" s="93"/>
      <c r="Q82" s="93"/>
      <c r="R82" s="94"/>
      <c r="S82" s="28"/>
      <c r="T82" s="28"/>
      <c r="U82" s="110"/>
      <c r="V82" s="126"/>
    </row>
    <row r="83" spans="6:22" s="6" customFormat="1" ht="20.100000000000001" customHeight="1" x14ac:dyDescent="0.25">
      <c r="F83" s="28"/>
      <c r="G83" s="28"/>
      <c r="H83" s="92"/>
      <c r="I83" s="92"/>
      <c r="J83" s="92"/>
      <c r="K83" s="92"/>
      <c r="L83" s="92"/>
      <c r="M83" s="92"/>
      <c r="N83" s="93"/>
      <c r="O83" s="93"/>
      <c r="P83" s="93"/>
      <c r="Q83" s="93"/>
      <c r="R83" s="94"/>
      <c r="S83" s="28"/>
      <c r="T83" s="28"/>
      <c r="U83" s="110"/>
      <c r="V83" s="126"/>
    </row>
    <row r="84" spans="6:22" s="6" customFormat="1" ht="20.100000000000001" customHeight="1" x14ac:dyDescent="0.25">
      <c r="F84" s="28"/>
      <c r="G84" s="28"/>
      <c r="H84" s="92"/>
      <c r="I84" s="92"/>
      <c r="J84" s="92"/>
      <c r="K84" s="92"/>
      <c r="L84" s="92"/>
      <c r="M84" s="92"/>
      <c r="N84" s="93"/>
      <c r="O84" s="93"/>
      <c r="P84" s="93"/>
      <c r="Q84" s="93"/>
      <c r="R84" s="94"/>
      <c r="S84" s="28"/>
      <c r="T84" s="28"/>
      <c r="U84" s="110"/>
      <c r="V84" s="126"/>
    </row>
    <row r="85" spans="6:22" s="6" customFormat="1" ht="20.100000000000001" customHeight="1" x14ac:dyDescent="0.25">
      <c r="F85" s="28"/>
      <c r="G85" s="28"/>
      <c r="H85" s="92"/>
      <c r="I85" s="92"/>
      <c r="J85" s="92"/>
      <c r="K85" s="92"/>
      <c r="L85" s="92"/>
      <c r="M85" s="92"/>
      <c r="N85" s="93"/>
      <c r="O85" s="93"/>
      <c r="P85" s="93"/>
      <c r="Q85" s="93"/>
      <c r="R85" s="94"/>
      <c r="S85" s="28"/>
      <c r="T85" s="28"/>
      <c r="U85" s="110"/>
      <c r="V85" s="126"/>
    </row>
    <row r="86" spans="6:22" s="6" customFormat="1" ht="20.100000000000001" customHeight="1" x14ac:dyDescent="0.25">
      <c r="F86" s="28"/>
      <c r="G86" s="28"/>
      <c r="H86" s="92"/>
      <c r="I86" s="92"/>
      <c r="J86" s="92"/>
      <c r="K86" s="92"/>
      <c r="L86" s="92"/>
      <c r="M86" s="92"/>
      <c r="N86" s="93"/>
      <c r="O86" s="93"/>
      <c r="P86" s="93"/>
      <c r="Q86" s="93"/>
      <c r="R86" s="94"/>
      <c r="S86" s="28"/>
      <c r="T86" s="28"/>
      <c r="U86" s="110"/>
      <c r="V86" s="126"/>
    </row>
    <row r="87" spans="6:22" s="6" customFormat="1" ht="20.100000000000001" customHeight="1" x14ac:dyDescent="0.25">
      <c r="F87" s="28"/>
      <c r="G87" s="28"/>
      <c r="H87" s="92"/>
      <c r="I87" s="92"/>
      <c r="J87" s="92"/>
      <c r="K87" s="92"/>
      <c r="L87" s="92"/>
      <c r="M87" s="92"/>
      <c r="N87" s="93"/>
      <c r="O87" s="93"/>
      <c r="P87" s="93"/>
      <c r="Q87" s="93"/>
      <c r="R87" s="94"/>
      <c r="S87" s="28"/>
      <c r="T87" s="28"/>
      <c r="U87" s="110"/>
      <c r="V87" s="126"/>
    </row>
    <row r="88" spans="6:22" s="6" customFormat="1" ht="20.100000000000001" customHeight="1" x14ac:dyDescent="0.25">
      <c r="F88" s="28"/>
      <c r="G88" s="28"/>
      <c r="H88" s="92"/>
      <c r="I88" s="92"/>
      <c r="J88" s="92"/>
      <c r="K88" s="92"/>
      <c r="L88" s="92"/>
      <c r="M88" s="92"/>
      <c r="N88" s="93"/>
      <c r="O88" s="93"/>
      <c r="P88" s="93"/>
      <c r="Q88" s="93"/>
      <c r="R88" s="94"/>
      <c r="S88" s="28"/>
      <c r="T88" s="28"/>
      <c r="U88" s="110"/>
      <c r="V88" s="126"/>
    </row>
    <row r="89" spans="6:22" s="6" customFormat="1" ht="20.100000000000001" customHeight="1" x14ac:dyDescent="0.25">
      <c r="F89" s="28"/>
      <c r="G89" s="28"/>
      <c r="H89" s="92"/>
      <c r="I89" s="92"/>
      <c r="J89" s="92"/>
      <c r="K89" s="92"/>
      <c r="L89" s="92"/>
      <c r="M89" s="92"/>
      <c r="N89" s="93"/>
      <c r="O89" s="93"/>
      <c r="P89" s="93"/>
      <c r="Q89" s="93"/>
      <c r="R89" s="94"/>
      <c r="S89" s="28"/>
      <c r="T89" s="28"/>
      <c r="U89" s="110"/>
      <c r="V89" s="126"/>
    </row>
    <row r="90" spans="6:22" s="6" customFormat="1" ht="20.100000000000001" customHeight="1" x14ac:dyDescent="0.25">
      <c r="F90" s="28"/>
      <c r="G90" s="28"/>
      <c r="H90" s="92"/>
      <c r="I90" s="92"/>
      <c r="J90" s="92"/>
      <c r="K90" s="92"/>
      <c r="L90" s="92"/>
      <c r="M90" s="92"/>
      <c r="N90" s="93"/>
      <c r="O90" s="93"/>
      <c r="P90" s="93"/>
      <c r="Q90" s="93"/>
      <c r="R90" s="94"/>
      <c r="S90" s="28"/>
      <c r="T90" s="28"/>
      <c r="U90" s="110"/>
      <c r="V90" s="126"/>
    </row>
    <row r="91" spans="6:22" s="6" customFormat="1" ht="20.100000000000001" customHeight="1" x14ac:dyDescent="0.25">
      <c r="F91" s="28"/>
      <c r="G91" s="28"/>
      <c r="H91" s="92"/>
      <c r="I91" s="92"/>
      <c r="J91" s="92"/>
      <c r="K91" s="92"/>
      <c r="L91" s="92"/>
      <c r="M91" s="92"/>
      <c r="N91" s="93"/>
      <c r="O91" s="93"/>
      <c r="P91" s="93"/>
      <c r="Q91" s="93"/>
      <c r="R91" s="94"/>
      <c r="S91" s="28"/>
      <c r="T91" s="28"/>
      <c r="U91" s="110"/>
      <c r="V91" s="126"/>
    </row>
    <row r="92" spans="6:22" s="6" customFormat="1" ht="20.100000000000001" customHeight="1" x14ac:dyDescent="0.25">
      <c r="F92" s="28"/>
      <c r="G92" s="28"/>
      <c r="H92" s="92"/>
      <c r="I92" s="92"/>
      <c r="J92" s="92"/>
      <c r="K92" s="92"/>
      <c r="L92" s="92"/>
      <c r="M92" s="92"/>
      <c r="N92" s="93"/>
      <c r="O92" s="93"/>
      <c r="P92" s="93"/>
      <c r="Q92" s="93"/>
      <c r="R92" s="94"/>
      <c r="S92" s="28"/>
      <c r="T92" s="28"/>
      <c r="U92" s="110"/>
      <c r="V92" s="126"/>
    </row>
    <row r="93" spans="6:22" s="6" customFormat="1" ht="20.100000000000001" customHeight="1" x14ac:dyDescent="0.25">
      <c r="F93" s="28"/>
      <c r="G93" s="28"/>
      <c r="H93" s="92"/>
      <c r="I93" s="92"/>
      <c r="J93" s="92"/>
      <c r="K93" s="92"/>
      <c r="L93" s="92"/>
      <c r="M93" s="92"/>
      <c r="N93" s="93"/>
      <c r="O93" s="93"/>
      <c r="P93" s="93"/>
      <c r="Q93" s="93"/>
      <c r="R93" s="94"/>
      <c r="S93" s="28"/>
      <c r="T93" s="28"/>
      <c r="U93" s="110"/>
      <c r="V93" s="126"/>
    </row>
    <row r="94" spans="6:22" s="6" customFormat="1" ht="20.100000000000001" customHeight="1" x14ac:dyDescent="0.25">
      <c r="F94" s="28"/>
      <c r="G94" s="28"/>
      <c r="H94" s="92"/>
      <c r="I94" s="92"/>
      <c r="J94" s="92"/>
      <c r="K94" s="92"/>
      <c r="L94" s="92"/>
      <c r="M94" s="92"/>
      <c r="N94" s="93"/>
      <c r="O94" s="93"/>
      <c r="P94" s="93"/>
      <c r="Q94" s="93"/>
      <c r="R94" s="94"/>
      <c r="S94" s="28"/>
      <c r="T94" s="28"/>
      <c r="U94" s="110"/>
      <c r="V94" s="126"/>
    </row>
    <row r="95" spans="6:22" s="6" customFormat="1" ht="20.100000000000001" customHeight="1" x14ac:dyDescent="0.25">
      <c r="F95" s="28"/>
      <c r="G95" s="28"/>
      <c r="H95" s="92"/>
      <c r="I95" s="92"/>
      <c r="J95" s="92"/>
      <c r="K95" s="92"/>
      <c r="L95" s="92"/>
      <c r="M95" s="92"/>
      <c r="N95" s="93"/>
      <c r="O95" s="93"/>
      <c r="P95" s="93"/>
      <c r="Q95" s="93"/>
      <c r="R95" s="94"/>
      <c r="S95" s="28"/>
      <c r="T95" s="28"/>
      <c r="U95" s="110"/>
      <c r="V95" s="126"/>
    </row>
    <row r="96" spans="6:22" s="6" customFormat="1" ht="20.100000000000001" customHeight="1" x14ac:dyDescent="0.25">
      <c r="F96" s="28"/>
      <c r="G96" s="28"/>
      <c r="H96" s="92"/>
      <c r="I96" s="92"/>
      <c r="J96" s="92"/>
      <c r="K96" s="92"/>
      <c r="L96" s="92"/>
      <c r="M96" s="92"/>
      <c r="N96" s="93"/>
      <c r="O96" s="93"/>
      <c r="P96" s="93"/>
      <c r="Q96" s="93"/>
      <c r="R96" s="94"/>
      <c r="S96" s="28"/>
      <c r="T96" s="28"/>
      <c r="U96" s="110"/>
      <c r="V96" s="126"/>
    </row>
    <row r="97" spans="6:22" s="6" customFormat="1" ht="20.100000000000001" customHeight="1" x14ac:dyDescent="0.25">
      <c r="F97" s="28"/>
      <c r="G97" s="28"/>
      <c r="H97" s="92"/>
      <c r="I97" s="92"/>
      <c r="J97" s="92"/>
      <c r="K97" s="92"/>
      <c r="L97" s="92"/>
      <c r="M97" s="92"/>
      <c r="N97" s="93"/>
      <c r="O97" s="93"/>
      <c r="P97" s="93"/>
      <c r="Q97" s="93"/>
      <c r="R97" s="94"/>
      <c r="S97" s="28"/>
      <c r="T97" s="28"/>
      <c r="U97" s="110"/>
      <c r="V97" s="126"/>
    </row>
    <row r="98" spans="6:22" s="6" customFormat="1" ht="20.100000000000001" customHeight="1" x14ac:dyDescent="0.25">
      <c r="F98" s="28"/>
      <c r="G98" s="28"/>
      <c r="H98" s="92"/>
      <c r="I98" s="92"/>
      <c r="J98" s="92"/>
      <c r="K98" s="92"/>
      <c r="L98" s="92"/>
      <c r="M98" s="92"/>
      <c r="N98" s="93"/>
      <c r="O98" s="93"/>
      <c r="P98" s="93"/>
      <c r="Q98" s="93"/>
      <c r="R98" s="94"/>
      <c r="S98" s="28"/>
      <c r="T98" s="28"/>
      <c r="U98" s="110"/>
      <c r="V98" s="126"/>
    </row>
    <row r="99" spans="6:22" s="6" customFormat="1" ht="20.100000000000001" customHeight="1" x14ac:dyDescent="0.25">
      <c r="F99" s="28"/>
      <c r="G99" s="28"/>
      <c r="H99" s="92"/>
      <c r="I99" s="92"/>
      <c r="J99" s="92"/>
      <c r="K99" s="92"/>
      <c r="L99" s="92"/>
      <c r="M99" s="92"/>
      <c r="N99" s="93"/>
      <c r="O99" s="93"/>
      <c r="P99" s="93"/>
      <c r="Q99" s="93"/>
      <c r="R99" s="94"/>
      <c r="S99" s="28"/>
      <c r="T99" s="28"/>
      <c r="U99" s="110"/>
      <c r="V99" s="126"/>
    </row>
    <row r="100" spans="6:22" s="6" customFormat="1" ht="20.100000000000001" customHeight="1" x14ac:dyDescent="0.25">
      <c r="F100" s="28"/>
      <c r="G100" s="28"/>
      <c r="H100" s="92"/>
      <c r="I100" s="92"/>
      <c r="J100" s="92"/>
      <c r="K100" s="92"/>
      <c r="L100" s="92"/>
      <c r="M100" s="92"/>
      <c r="N100" s="93"/>
      <c r="O100" s="93"/>
      <c r="P100" s="93"/>
      <c r="Q100" s="93"/>
      <c r="R100" s="94"/>
      <c r="S100" s="28"/>
      <c r="T100" s="28"/>
      <c r="U100" s="110"/>
      <c r="V100" s="126"/>
    </row>
    <row r="101" spans="6:22" s="6" customFormat="1" ht="20.100000000000001" customHeight="1" x14ac:dyDescent="0.25">
      <c r="F101" s="28"/>
      <c r="G101" s="28"/>
      <c r="H101" s="92"/>
      <c r="I101" s="92"/>
      <c r="J101" s="92"/>
      <c r="K101" s="92"/>
      <c r="L101" s="92"/>
      <c r="M101" s="92"/>
      <c r="N101" s="93"/>
      <c r="O101" s="93"/>
      <c r="P101" s="93"/>
      <c r="Q101" s="93"/>
      <c r="R101" s="94"/>
      <c r="S101" s="28"/>
      <c r="T101" s="28"/>
      <c r="U101" s="110"/>
      <c r="V101" s="126"/>
    </row>
    <row r="102" spans="6:22" s="6" customFormat="1" ht="20.100000000000001" customHeight="1" x14ac:dyDescent="0.25">
      <c r="F102" s="28"/>
      <c r="G102" s="28"/>
      <c r="H102" s="92"/>
      <c r="I102" s="92"/>
      <c r="J102" s="92"/>
      <c r="K102" s="92"/>
      <c r="L102" s="92"/>
      <c r="M102" s="92"/>
      <c r="N102" s="93"/>
      <c r="O102" s="93"/>
      <c r="P102" s="93"/>
      <c r="Q102" s="93"/>
      <c r="R102" s="94"/>
      <c r="S102" s="28"/>
      <c r="T102" s="28"/>
      <c r="U102" s="110"/>
      <c r="V102" s="126"/>
    </row>
    <row r="103" spans="6:22" s="6" customFormat="1" ht="20.100000000000001" customHeight="1" x14ac:dyDescent="0.25">
      <c r="F103" s="28"/>
      <c r="G103" s="28"/>
      <c r="H103" s="92"/>
      <c r="I103" s="92"/>
      <c r="J103" s="92"/>
      <c r="K103" s="92"/>
      <c r="L103" s="92"/>
      <c r="M103" s="92"/>
      <c r="N103" s="93"/>
      <c r="O103" s="93"/>
      <c r="P103" s="93"/>
      <c r="Q103" s="93"/>
      <c r="R103" s="94"/>
      <c r="S103" s="28"/>
      <c r="T103" s="28"/>
      <c r="U103" s="110"/>
      <c r="V103" s="126"/>
    </row>
    <row r="104" spans="6:22" s="6" customFormat="1" ht="20.100000000000001" customHeight="1" x14ac:dyDescent="0.25">
      <c r="F104" s="28"/>
      <c r="G104" s="28"/>
      <c r="H104" s="92"/>
      <c r="I104" s="92"/>
      <c r="J104" s="92"/>
      <c r="K104" s="92"/>
      <c r="L104" s="92"/>
      <c r="M104" s="92"/>
      <c r="N104" s="93"/>
      <c r="O104" s="93"/>
      <c r="P104" s="93"/>
      <c r="Q104" s="93"/>
      <c r="R104" s="94"/>
      <c r="S104" s="28"/>
      <c r="T104" s="28"/>
      <c r="U104" s="110"/>
      <c r="V104" s="126"/>
    </row>
    <row r="105" spans="6:22" s="6" customFormat="1" ht="20.100000000000001" customHeight="1" x14ac:dyDescent="0.25">
      <c r="F105" s="28"/>
      <c r="G105" s="28"/>
      <c r="H105" s="92"/>
      <c r="I105" s="92"/>
      <c r="J105" s="92"/>
      <c r="K105" s="92"/>
      <c r="L105" s="92"/>
      <c r="M105" s="92"/>
      <c r="N105" s="93"/>
      <c r="O105" s="93"/>
      <c r="P105" s="93"/>
      <c r="Q105" s="93"/>
      <c r="R105" s="94"/>
      <c r="S105" s="28"/>
      <c r="T105" s="28"/>
      <c r="U105" s="110"/>
      <c r="V105" s="126"/>
    </row>
    <row r="106" spans="6:22" s="6" customFormat="1" ht="20.100000000000001" customHeight="1" x14ac:dyDescent="0.25">
      <c r="F106" s="28"/>
      <c r="G106" s="28"/>
      <c r="H106" s="92"/>
      <c r="I106" s="92"/>
      <c r="J106" s="92"/>
      <c r="K106" s="92"/>
      <c r="L106" s="92"/>
      <c r="M106" s="92"/>
      <c r="N106" s="93"/>
      <c r="O106" s="93"/>
      <c r="P106" s="93"/>
      <c r="Q106" s="93"/>
      <c r="R106" s="94"/>
      <c r="S106" s="28"/>
      <c r="T106" s="28"/>
      <c r="U106" s="110"/>
      <c r="V106" s="126"/>
    </row>
    <row r="107" spans="6:22" s="6" customFormat="1" ht="20.100000000000001" customHeight="1" x14ac:dyDescent="0.25">
      <c r="F107" s="28"/>
      <c r="G107" s="28"/>
      <c r="H107" s="92"/>
      <c r="I107" s="92"/>
      <c r="J107" s="92"/>
      <c r="K107" s="92"/>
      <c r="L107" s="92"/>
      <c r="M107" s="92"/>
      <c r="N107" s="93"/>
      <c r="O107" s="93"/>
      <c r="P107" s="93"/>
      <c r="Q107" s="93"/>
      <c r="R107" s="94"/>
      <c r="S107" s="28"/>
      <c r="T107" s="28"/>
      <c r="U107" s="110"/>
      <c r="V107" s="126"/>
    </row>
    <row r="108" spans="6:22" s="6" customFormat="1" ht="20.100000000000001" customHeight="1" x14ac:dyDescent="0.25">
      <c r="F108" s="28"/>
      <c r="G108" s="28"/>
      <c r="H108" s="92"/>
      <c r="I108" s="92"/>
      <c r="J108" s="92"/>
      <c r="K108" s="92"/>
      <c r="L108" s="92"/>
      <c r="M108" s="92"/>
      <c r="N108" s="93"/>
      <c r="O108" s="93"/>
      <c r="P108" s="93"/>
      <c r="Q108" s="93"/>
      <c r="R108" s="94"/>
      <c r="S108" s="28"/>
      <c r="T108" s="28"/>
      <c r="U108" s="110"/>
      <c r="V108" s="126"/>
    </row>
    <row r="109" spans="6:22" s="6" customFormat="1" ht="20.100000000000001" customHeight="1" x14ac:dyDescent="0.25">
      <c r="F109" s="28"/>
      <c r="G109" s="28"/>
      <c r="H109" s="92"/>
      <c r="I109" s="92"/>
      <c r="J109" s="92"/>
      <c r="K109" s="92"/>
      <c r="L109" s="92"/>
      <c r="M109" s="92"/>
      <c r="N109" s="93"/>
      <c r="O109" s="93"/>
      <c r="P109" s="93"/>
      <c r="Q109" s="93"/>
      <c r="R109" s="94"/>
      <c r="S109" s="28"/>
      <c r="T109" s="28"/>
      <c r="U109" s="110"/>
      <c r="V109" s="126"/>
    </row>
    <row r="110" spans="6:22" s="6" customFormat="1" ht="20.100000000000001" customHeight="1" x14ac:dyDescent="0.25">
      <c r="F110" s="28"/>
      <c r="G110" s="28"/>
      <c r="H110" s="92"/>
      <c r="I110" s="92"/>
      <c r="J110" s="92"/>
      <c r="K110" s="92"/>
      <c r="L110" s="92"/>
      <c r="M110" s="92"/>
      <c r="N110" s="93"/>
      <c r="O110" s="93"/>
      <c r="P110" s="93"/>
      <c r="Q110" s="93"/>
      <c r="R110" s="94"/>
      <c r="S110" s="28"/>
      <c r="T110" s="28"/>
      <c r="U110" s="110"/>
      <c r="V110" s="126"/>
    </row>
    <row r="111" spans="6:22" s="6" customFormat="1" ht="20.100000000000001" customHeight="1" x14ac:dyDescent="0.25">
      <c r="F111" s="28"/>
      <c r="G111" s="28"/>
      <c r="H111" s="92"/>
      <c r="I111" s="92"/>
      <c r="J111" s="92"/>
      <c r="K111" s="92"/>
      <c r="L111" s="92"/>
      <c r="M111" s="92"/>
      <c r="N111" s="93"/>
      <c r="O111" s="93"/>
      <c r="P111" s="93"/>
      <c r="Q111" s="93"/>
      <c r="R111" s="94"/>
      <c r="S111" s="28"/>
      <c r="T111" s="28"/>
      <c r="U111" s="110"/>
      <c r="V111" s="126"/>
    </row>
    <row r="112" spans="6:22" s="6" customFormat="1" ht="20.100000000000001" customHeight="1" x14ac:dyDescent="0.25">
      <c r="F112" s="28"/>
      <c r="G112" s="28"/>
      <c r="H112" s="92"/>
      <c r="I112" s="92"/>
      <c r="J112" s="92"/>
      <c r="K112" s="92"/>
      <c r="L112" s="92"/>
      <c r="M112" s="92"/>
      <c r="N112" s="93"/>
      <c r="O112" s="93"/>
      <c r="P112" s="93"/>
      <c r="Q112" s="93"/>
      <c r="R112" s="94"/>
      <c r="S112" s="28"/>
      <c r="T112" s="28"/>
      <c r="U112" s="110"/>
      <c r="V112" s="126"/>
    </row>
    <row r="113" spans="6:22" s="6" customFormat="1" ht="20.100000000000001" customHeight="1" x14ac:dyDescent="0.25">
      <c r="F113" s="28"/>
      <c r="G113" s="28"/>
      <c r="H113" s="92"/>
      <c r="I113" s="92"/>
      <c r="J113" s="92"/>
      <c r="K113" s="92"/>
      <c r="L113" s="92"/>
      <c r="M113" s="92"/>
      <c r="N113" s="93"/>
      <c r="O113" s="93"/>
      <c r="P113" s="93"/>
      <c r="Q113" s="93"/>
      <c r="R113" s="94"/>
      <c r="S113" s="28"/>
      <c r="T113" s="28"/>
      <c r="U113" s="110"/>
      <c r="V113" s="126"/>
    </row>
    <row r="114" spans="6:22" s="6" customFormat="1" ht="20.100000000000001" customHeight="1" x14ac:dyDescent="0.25">
      <c r="F114" s="28"/>
      <c r="G114" s="28"/>
      <c r="H114" s="92"/>
      <c r="I114" s="92"/>
      <c r="J114" s="92"/>
      <c r="K114" s="92"/>
      <c r="L114" s="92"/>
      <c r="M114" s="92"/>
      <c r="N114" s="93"/>
      <c r="O114" s="93"/>
      <c r="P114" s="93"/>
      <c r="Q114" s="93"/>
      <c r="R114" s="94"/>
      <c r="S114" s="28"/>
      <c r="T114" s="28"/>
      <c r="U114" s="110"/>
      <c r="V114" s="126"/>
    </row>
    <row r="115" spans="6:22" s="6" customFormat="1" ht="20.100000000000001" customHeight="1" x14ac:dyDescent="0.25">
      <c r="F115" s="28"/>
      <c r="G115" s="28"/>
      <c r="H115" s="92"/>
      <c r="I115" s="92"/>
      <c r="J115" s="92"/>
      <c r="K115" s="92"/>
      <c r="L115" s="92"/>
      <c r="M115" s="92"/>
      <c r="N115" s="93"/>
      <c r="O115" s="93"/>
      <c r="P115" s="93"/>
      <c r="Q115" s="93"/>
      <c r="R115" s="94"/>
      <c r="S115" s="28"/>
      <c r="T115" s="28"/>
      <c r="U115" s="110"/>
      <c r="V115" s="126"/>
    </row>
    <row r="116" spans="6:22" s="6" customFormat="1" ht="20.100000000000001" customHeight="1" x14ac:dyDescent="0.25">
      <c r="F116" s="28"/>
      <c r="G116" s="28"/>
      <c r="H116" s="92"/>
      <c r="I116" s="92"/>
      <c r="J116" s="92"/>
      <c r="K116" s="92"/>
      <c r="L116" s="92"/>
      <c r="M116" s="92"/>
      <c r="N116" s="93"/>
      <c r="O116" s="93"/>
      <c r="P116" s="93"/>
      <c r="Q116" s="93"/>
      <c r="R116" s="94"/>
      <c r="S116" s="28"/>
      <c r="T116" s="28"/>
      <c r="U116" s="110"/>
      <c r="V116" s="126"/>
    </row>
    <row r="117" spans="6:22" s="6" customFormat="1" ht="20.100000000000001" customHeight="1" x14ac:dyDescent="0.25">
      <c r="F117" s="28"/>
      <c r="G117" s="28"/>
      <c r="H117" s="92"/>
      <c r="I117" s="92"/>
      <c r="J117" s="92"/>
      <c r="K117" s="92"/>
      <c r="L117" s="92"/>
      <c r="M117" s="92"/>
      <c r="N117" s="93"/>
      <c r="O117" s="93"/>
      <c r="P117" s="93"/>
      <c r="Q117" s="93"/>
      <c r="R117" s="94"/>
      <c r="S117" s="28"/>
      <c r="T117" s="28"/>
      <c r="U117" s="110"/>
      <c r="V117" s="126"/>
    </row>
    <row r="118" spans="6:22" s="6" customFormat="1" ht="20.100000000000001" customHeight="1" x14ac:dyDescent="0.25">
      <c r="F118" s="28"/>
      <c r="G118" s="28"/>
      <c r="H118" s="92"/>
      <c r="I118" s="92"/>
      <c r="J118" s="92"/>
      <c r="K118" s="92"/>
      <c r="L118" s="92"/>
      <c r="M118" s="92"/>
      <c r="N118" s="93"/>
      <c r="O118" s="93"/>
      <c r="P118" s="93"/>
      <c r="Q118" s="93"/>
      <c r="R118" s="94"/>
      <c r="S118" s="28"/>
      <c r="T118" s="28"/>
      <c r="U118" s="110"/>
      <c r="V118" s="126"/>
    </row>
    <row r="119" spans="6:22" s="6" customFormat="1" ht="20.100000000000001" customHeight="1" x14ac:dyDescent="0.25">
      <c r="F119" s="28"/>
      <c r="G119" s="28"/>
      <c r="H119" s="92"/>
      <c r="I119" s="92"/>
      <c r="J119" s="92"/>
      <c r="K119" s="92"/>
      <c r="L119" s="92"/>
      <c r="M119" s="92"/>
      <c r="N119" s="93"/>
      <c r="O119" s="93"/>
      <c r="P119" s="93"/>
      <c r="Q119" s="93"/>
      <c r="R119" s="94"/>
      <c r="S119" s="28"/>
      <c r="T119" s="28"/>
      <c r="U119" s="110"/>
      <c r="V119" s="126"/>
    </row>
    <row r="120" spans="6:22" s="6" customFormat="1" ht="20.100000000000001" customHeight="1" x14ac:dyDescent="0.25">
      <c r="F120" s="28"/>
      <c r="G120" s="28"/>
      <c r="H120" s="92"/>
      <c r="I120" s="92"/>
      <c r="J120" s="92"/>
      <c r="K120" s="92"/>
      <c r="L120" s="92"/>
      <c r="M120" s="92"/>
      <c r="N120" s="93"/>
      <c r="O120" s="93"/>
      <c r="P120" s="93"/>
      <c r="Q120" s="93"/>
      <c r="R120" s="94"/>
      <c r="S120" s="28"/>
      <c r="T120" s="28"/>
      <c r="U120" s="110"/>
      <c r="V120" s="126"/>
    </row>
    <row r="121" spans="6:22" s="6" customFormat="1" ht="20.100000000000001" customHeight="1" x14ac:dyDescent="0.25">
      <c r="F121" s="28"/>
      <c r="G121" s="28"/>
      <c r="H121" s="92"/>
      <c r="I121" s="92"/>
      <c r="J121" s="92"/>
      <c r="K121" s="92"/>
      <c r="L121" s="92"/>
      <c r="M121" s="92"/>
      <c r="N121" s="93"/>
      <c r="O121" s="93"/>
      <c r="P121" s="93"/>
      <c r="Q121" s="93"/>
      <c r="R121" s="94"/>
      <c r="S121" s="28"/>
      <c r="T121" s="28"/>
      <c r="U121" s="110"/>
      <c r="V121" s="126"/>
    </row>
    <row r="122" spans="6:22" s="6" customFormat="1" ht="20.100000000000001" customHeight="1" x14ac:dyDescent="0.25">
      <c r="F122" s="28"/>
      <c r="G122" s="28"/>
      <c r="H122" s="92"/>
      <c r="I122" s="92"/>
      <c r="J122" s="92"/>
      <c r="K122" s="92"/>
      <c r="L122" s="92"/>
      <c r="M122" s="92"/>
      <c r="N122" s="93"/>
      <c r="O122" s="93"/>
      <c r="P122" s="93"/>
      <c r="Q122" s="93"/>
      <c r="R122" s="94"/>
      <c r="S122" s="28"/>
      <c r="T122" s="28"/>
      <c r="U122" s="110"/>
      <c r="V122" s="126"/>
    </row>
    <row r="123" spans="6:22" s="6" customFormat="1" ht="20.100000000000001" customHeight="1" x14ac:dyDescent="0.25">
      <c r="F123" s="28"/>
      <c r="G123" s="28"/>
      <c r="H123" s="92"/>
      <c r="I123" s="92"/>
      <c r="J123" s="92"/>
      <c r="K123" s="92"/>
      <c r="L123" s="92"/>
      <c r="M123" s="92"/>
      <c r="N123" s="93"/>
      <c r="O123" s="93"/>
      <c r="P123" s="93"/>
      <c r="Q123" s="93"/>
      <c r="R123" s="94"/>
      <c r="S123" s="28"/>
      <c r="T123" s="28"/>
      <c r="U123" s="110"/>
      <c r="V123" s="126"/>
    </row>
    <row r="124" spans="6:22" s="6" customFormat="1" ht="20.100000000000001" customHeight="1" x14ac:dyDescent="0.25">
      <c r="F124" s="28"/>
      <c r="G124" s="28"/>
      <c r="H124" s="92"/>
      <c r="I124" s="92"/>
      <c r="J124" s="92"/>
      <c r="K124" s="92"/>
      <c r="L124" s="92"/>
      <c r="M124" s="92"/>
      <c r="N124" s="93"/>
      <c r="O124" s="93"/>
      <c r="P124" s="93"/>
      <c r="Q124" s="93"/>
      <c r="R124" s="94"/>
      <c r="S124" s="28"/>
      <c r="T124" s="28"/>
      <c r="U124" s="110"/>
      <c r="V124" s="126"/>
    </row>
    <row r="125" spans="6:22" s="6" customFormat="1" ht="20.100000000000001" customHeight="1" x14ac:dyDescent="0.25">
      <c r="F125" s="28"/>
      <c r="G125" s="28"/>
      <c r="H125" s="92"/>
      <c r="I125" s="92"/>
      <c r="J125" s="92"/>
      <c r="K125" s="92"/>
      <c r="L125" s="92"/>
      <c r="M125" s="92"/>
      <c r="N125" s="93"/>
      <c r="O125" s="93"/>
      <c r="P125" s="93"/>
      <c r="Q125" s="93"/>
      <c r="R125" s="94"/>
      <c r="S125" s="28"/>
      <c r="T125" s="28"/>
      <c r="U125" s="110"/>
      <c r="V125" s="126"/>
    </row>
    <row r="126" spans="6:22" s="6" customFormat="1" ht="20.100000000000001" customHeight="1" x14ac:dyDescent="0.25">
      <c r="F126" s="28"/>
      <c r="G126" s="28"/>
      <c r="H126" s="92"/>
      <c r="I126" s="92"/>
      <c r="J126" s="92"/>
      <c r="K126" s="92"/>
      <c r="L126" s="92"/>
      <c r="M126" s="92"/>
      <c r="N126" s="93"/>
      <c r="O126" s="93"/>
      <c r="P126" s="93"/>
      <c r="Q126" s="93"/>
      <c r="R126" s="94"/>
      <c r="S126" s="28"/>
      <c r="T126" s="28"/>
      <c r="U126" s="110"/>
      <c r="V126" s="126"/>
    </row>
    <row r="127" spans="6:22" s="6" customFormat="1" ht="20.100000000000001" customHeight="1" x14ac:dyDescent="0.25">
      <c r="F127" s="28"/>
      <c r="G127" s="28"/>
      <c r="H127" s="92"/>
      <c r="I127" s="92"/>
      <c r="J127" s="92"/>
      <c r="K127" s="92"/>
      <c r="L127" s="92"/>
      <c r="M127" s="92"/>
      <c r="N127" s="93"/>
      <c r="O127" s="93"/>
      <c r="P127" s="93"/>
      <c r="Q127" s="93"/>
      <c r="R127" s="94"/>
      <c r="S127" s="28"/>
      <c r="T127" s="28"/>
      <c r="U127" s="110"/>
      <c r="V127" s="126"/>
    </row>
    <row r="128" spans="6:22" s="6" customFormat="1" ht="20.100000000000001" customHeight="1" x14ac:dyDescent="0.25">
      <c r="F128" s="28"/>
      <c r="G128" s="28"/>
      <c r="H128" s="92"/>
      <c r="I128" s="92"/>
      <c r="J128" s="92"/>
      <c r="K128" s="92"/>
      <c r="L128" s="92"/>
      <c r="M128" s="92"/>
      <c r="N128" s="93"/>
      <c r="O128" s="93"/>
      <c r="P128" s="93"/>
      <c r="Q128" s="93"/>
      <c r="R128" s="94"/>
      <c r="S128" s="28"/>
      <c r="T128" s="28"/>
      <c r="U128" s="110"/>
      <c r="V128" s="126"/>
    </row>
    <row r="129" spans="6:22" s="6" customFormat="1" ht="20.100000000000001" customHeight="1" x14ac:dyDescent="0.25">
      <c r="F129" s="28"/>
      <c r="G129" s="28"/>
      <c r="H129" s="92"/>
      <c r="I129" s="92"/>
      <c r="J129" s="92"/>
      <c r="K129" s="92"/>
      <c r="L129" s="92"/>
      <c r="M129" s="92"/>
      <c r="N129" s="93"/>
      <c r="O129" s="93"/>
      <c r="P129" s="93"/>
      <c r="Q129" s="93"/>
      <c r="R129" s="94"/>
      <c r="S129" s="28"/>
      <c r="T129" s="28"/>
      <c r="U129" s="110"/>
      <c r="V129" s="126"/>
    </row>
    <row r="130" spans="6:22" s="6" customFormat="1" ht="20.100000000000001" customHeight="1" x14ac:dyDescent="0.25">
      <c r="F130" s="28"/>
      <c r="G130" s="28"/>
      <c r="H130" s="92"/>
      <c r="I130" s="92"/>
      <c r="J130" s="92"/>
      <c r="K130" s="92"/>
      <c r="L130" s="92"/>
      <c r="M130" s="92"/>
      <c r="N130" s="93"/>
      <c r="O130" s="93"/>
      <c r="P130" s="93"/>
      <c r="Q130" s="93"/>
      <c r="R130" s="94"/>
      <c r="S130" s="28"/>
      <c r="T130" s="28"/>
      <c r="U130" s="110"/>
      <c r="V130" s="126"/>
    </row>
    <row r="131" spans="6:22" s="6" customFormat="1" ht="20.100000000000001" customHeight="1" x14ac:dyDescent="0.25">
      <c r="F131" s="28"/>
      <c r="G131" s="28"/>
      <c r="H131" s="92"/>
      <c r="I131" s="92"/>
      <c r="J131" s="92"/>
      <c r="K131" s="92"/>
      <c r="L131" s="92"/>
      <c r="M131" s="92"/>
      <c r="N131" s="93"/>
      <c r="O131" s="93"/>
      <c r="P131" s="93"/>
      <c r="Q131" s="93"/>
      <c r="R131" s="94"/>
      <c r="S131" s="28"/>
      <c r="T131" s="28"/>
      <c r="U131" s="110"/>
      <c r="V131" s="126"/>
    </row>
    <row r="132" spans="6:22" s="6" customFormat="1" ht="20.100000000000001" customHeight="1" x14ac:dyDescent="0.25">
      <c r="F132" s="28"/>
      <c r="G132" s="28"/>
      <c r="H132" s="92"/>
      <c r="I132" s="92"/>
      <c r="J132" s="92"/>
      <c r="K132" s="92"/>
      <c r="L132" s="92"/>
      <c r="M132" s="92"/>
      <c r="N132" s="93"/>
      <c r="O132" s="93"/>
      <c r="P132" s="93"/>
      <c r="Q132" s="93"/>
      <c r="R132" s="94"/>
      <c r="S132" s="28"/>
      <c r="T132" s="28"/>
      <c r="U132" s="110"/>
      <c r="V132" s="126"/>
    </row>
    <row r="133" spans="6:22" s="6" customFormat="1" ht="20.100000000000001" customHeight="1" x14ac:dyDescent="0.25">
      <c r="F133" s="28"/>
      <c r="G133" s="28"/>
      <c r="H133" s="92"/>
      <c r="I133" s="92"/>
      <c r="J133" s="92"/>
      <c r="K133" s="92"/>
      <c r="L133" s="92"/>
      <c r="M133" s="92"/>
      <c r="N133" s="93"/>
      <c r="O133" s="93"/>
      <c r="P133" s="93"/>
      <c r="Q133" s="93"/>
      <c r="R133" s="94"/>
      <c r="S133" s="28"/>
      <c r="T133" s="28"/>
      <c r="U133" s="110"/>
      <c r="V133" s="126"/>
    </row>
    <row r="134" spans="6:22" s="6" customFormat="1" ht="20.100000000000001" customHeight="1" x14ac:dyDescent="0.25">
      <c r="F134" s="28"/>
      <c r="G134" s="28"/>
      <c r="H134" s="92"/>
      <c r="I134" s="92"/>
      <c r="J134" s="92"/>
      <c r="K134" s="92"/>
      <c r="L134" s="92"/>
      <c r="M134" s="92"/>
      <c r="N134" s="93"/>
      <c r="O134" s="93"/>
      <c r="P134" s="93"/>
      <c r="Q134" s="93"/>
      <c r="R134" s="94"/>
      <c r="S134" s="28"/>
      <c r="T134" s="28"/>
      <c r="U134" s="110"/>
      <c r="V134" s="126"/>
    </row>
    <row r="135" spans="6:22" s="6" customFormat="1" ht="20.100000000000001" customHeight="1" x14ac:dyDescent="0.25">
      <c r="F135" s="28"/>
      <c r="G135" s="28"/>
      <c r="H135" s="92"/>
      <c r="I135" s="92"/>
      <c r="J135" s="92"/>
      <c r="K135" s="92"/>
      <c r="L135" s="92"/>
      <c r="M135" s="92"/>
      <c r="N135" s="93"/>
      <c r="O135" s="93"/>
      <c r="P135" s="93"/>
      <c r="Q135" s="93"/>
      <c r="R135" s="94"/>
      <c r="S135" s="28"/>
      <c r="T135" s="28"/>
      <c r="U135" s="110"/>
      <c r="V135" s="126"/>
    </row>
    <row r="136" spans="6:22" s="6" customFormat="1" ht="20.100000000000001" customHeight="1" x14ac:dyDescent="0.25">
      <c r="F136" s="28"/>
      <c r="G136" s="28"/>
      <c r="H136" s="92"/>
      <c r="I136" s="92"/>
      <c r="J136" s="92"/>
      <c r="K136" s="92"/>
      <c r="L136" s="92"/>
      <c r="M136" s="92"/>
      <c r="N136" s="93"/>
      <c r="O136" s="93"/>
      <c r="P136" s="93"/>
      <c r="Q136" s="93"/>
      <c r="R136" s="94"/>
      <c r="S136" s="28"/>
      <c r="T136" s="28"/>
      <c r="U136" s="110"/>
      <c r="V136" s="126"/>
    </row>
    <row r="137" spans="6:22" s="6" customFormat="1" ht="20.100000000000001" customHeight="1" x14ac:dyDescent="0.25">
      <c r="F137" s="28"/>
      <c r="G137" s="28"/>
      <c r="H137" s="92"/>
      <c r="I137" s="92"/>
      <c r="J137" s="92"/>
      <c r="K137" s="92"/>
      <c r="L137" s="92"/>
      <c r="M137" s="92"/>
      <c r="N137" s="93"/>
      <c r="O137" s="93"/>
      <c r="P137" s="93"/>
      <c r="Q137" s="93"/>
      <c r="R137" s="94"/>
      <c r="S137" s="28"/>
      <c r="T137" s="28"/>
      <c r="U137" s="110"/>
      <c r="V137" s="126"/>
    </row>
    <row r="138" spans="6:22" s="6" customFormat="1" ht="20.100000000000001" customHeight="1" x14ac:dyDescent="0.25">
      <c r="F138" s="28"/>
      <c r="G138" s="28"/>
      <c r="H138" s="92"/>
      <c r="I138" s="92"/>
      <c r="J138" s="92"/>
      <c r="K138" s="92"/>
      <c r="L138" s="92"/>
      <c r="M138" s="92"/>
      <c r="N138" s="93"/>
      <c r="O138" s="93"/>
      <c r="P138" s="93"/>
      <c r="Q138" s="93"/>
      <c r="R138" s="94"/>
      <c r="S138" s="28"/>
      <c r="T138" s="28"/>
      <c r="U138" s="110"/>
      <c r="V138" s="126"/>
    </row>
    <row r="139" spans="6:22" s="6" customFormat="1" ht="20.100000000000001" customHeight="1" x14ac:dyDescent="0.25">
      <c r="F139" s="28"/>
      <c r="G139" s="28"/>
      <c r="H139" s="92"/>
      <c r="I139" s="92"/>
      <c r="J139" s="92"/>
      <c r="K139" s="92"/>
      <c r="L139" s="92"/>
      <c r="M139" s="92"/>
      <c r="N139" s="93"/>
      <c r="O139" s="93"/>
      <c r="P139" s="93"/>
      <c r="Q139" s="93"/>
      <c r="R139" s="94"/>
      <c r="S139" s="28"/>
      <c r="T139" s="28"/>
      <c r="U139" s="110"/>
      <c r="V139" s="126"/>
    </row>
    <row r="140" spans="6:22" s="6" customFormat="1" ht="20.100000000000001" customHeight="1" x14ac:dyDescent="0.25">
      <c r="F140" s="28"/>
      <c r="G140" s="28"/>
      <c r="H140" s="92"/>
      <c r="I140" s="92"/>
      <c r="J140" s="92"/>
      <c r="K140" s="92"/>
      <c r="L140" s="92"/>
      <c r="M140" s="92"/>
      <c r="N140" s="93"/>
      <c r="O140" s="93"/>
      <c r="P140" s="93"/>
      <c r="Q140" s="93"/>
      <c r="R140" s="94"/>
      <c r="S140" s="28"/>
      <c r="T140" s="28"/>
      <c r="U140" s="110"/>
      <c r="V140" s="126"/>
    </row>
    <row r="141" spans="6:22" s="6" customFormat="1" ht="20.100000000000001" customHeight="1" x14ac:dyDescent="0.25">
      <c r="F141" s="28"/>
      <c r="G141" s="28"/>
      <c r="H141" s="92"/>
      <c r="I141" s="92"/>
      <c r="J141" s="92"/>
      <c r="K141" s="92"/>
      <c r="L141" s="92"/>
      <c r="M141" s="92"/>
      <c r="N141" s="93"/>
      <c r="O141" s="93"/>
      <c r="P141" s="93"/>
      <c r="Q141" s="93"/>
      <c r="R141" s="94"/>
      <c r="S141" s="28"/>
      <c r="T141" s="28"/>
      <c r="U141" s="110"/>
      <c r="V141" s="126"/>
    </row>
    <row r="142" spans="6:22" s="6" customFormat="1" ht="20.100000000000001" customHeight="1" x14ac:dyDescent="0.25">
      <c r="F142" s="28"/>
      <c r="G142" s="28"/>
      <c r="H142" s="92"/>
      <c r="I142" s="92"/>
      <c r="J142" s="92"/>
      <c r="K142" s="92"/>
      <c r="L142" s="92"/>
      <c r="M142" s="92"/>
      <c r="N142" s="93"/>
      <c r="O142" s="93"/>
      <c r="P142" s="93"/>
      <c r="Q142" s="93"/>
      <c r="R142" s="94"/>
      <c r="S142" s="28"/>
      <c r="T142" s="28"/>
      <c r="U142" s="110"/>
      <c r="V142" s="126"/>
    </row>
    <row r="143" spans="6:22" s="6" customFormat="1" ht="20.100000000000001" customHeight="1" x14ac:dyDescent="0.25">
      <c r="F143" s="28"/>
      <c r="G143" s="28"/>
      <c r="H143" s="92"/>
      <c r="I143" s="92"/>
      <c r="J143" s="92"/>
      <c r="K143" s="92"/>
      <c r="L143" s="92"/>
      <c r="M143" s="92"/>
      <c r="N143" s="93"/>
      <c r="O143" s="93"/>
      <c r="P143" s="93"/>
      <c r="Q143" s="93"/>
      <c r="R143" s="94"/>
      <c r="S143" s="28"/>
      <c r="T143" s="28"/>
      <c r="U143" s="110"/>
      <c r="V143" s="126"/>
    </row>
    <row r="144" spans="6:22" s="6" customFormat="1" ht="20.100000000000001" customHeight="1" x14ac:dyDescent="0.25">
      <c r="F144" s="28"/>
      <c r="G144" s="28"/>
      <c r="H144" s="92"/>
      <c r="I144" s="92"/>
      <c r="J144" s="92"/>
      <c r="K144" s="92"/>
      <c r="L144" s="92"/>
      <c r="M144" s="92"/>
      <c r="N144" s="93"/>
      <c r="O144" s="93"/>
      <c r="P144" s="93"/>
      <c r="Q144" s="93"/>
      <c r="R144" s="94"/>
      <c r="S144" s="28"/>
      <c r="T144" s="28"/>
      <c r="U144" s="110"/>
      <c r="V144" s="126"/>
    </row>
    <row r="145" spans="6:22" s="6" customFormat="1" ht="20.100000000000001" customHeight="1" x14ac:dyDescent="0.25">
      <c r="F145" s="28"/>
      <c r="G145" s="28"/>
      <c r="H145" s="92"/>
      <c r="I145" s="92"/>
      <c r="J145" s="92"/>
      <c r="K145" s="92"/>
      <c r="L145" s="92"/>
      <c r="M145" s="92"/>
      <c r="N145" s="93"/>
      <c r="O145" s="93"/>
      <c r="P145" s="93"/>
      <c r="Q145" s="93"/>
      <c r="R145" s="94"/>
      <c r="S145" s="28"/>
      <c r="T145" s="28"/>
      <c r="U145" s="110"/>
      <c r="V145" s="126"/>
    </row>
    <row r="146" spans="6:22" s="6" customFormat="1" ht="20.100000000000001" customHeight="1" x14ac:dyDescent="0.25">
      <c r="F146" s="28"/>
      <c r="G146" s="28"/>
      <c r="H146" s="92"/>
      <c r="I146" s="92"/>
      <c r="J146" s="92"/>
      <c r="K146" s="92"/>
      <c r="L146" s="92"/>
      <c r="M146" s="92"/>
      <c r="N146" s="93"/>
      <c r="O146" s="93"/>
      <c r="P146" s="93"/>
      <c r="Q146" s="93"/>
      <c r="R146" s="94"/>
      <c r="S146" s="28"/>
      <c r="T146" s="28"/>
      <c r="U146" s="110"/>
      <c r="V146" s="126"/>
    </row>
    <row r="147" spans="6:22" s="6" customFormat="1" ht="20.100000000000001" customHeight="1" x14ac:dyDescent="0.25">
      <c r="F147" s="28"/>
      <c r="G147" s="28"/>
      <c r="H147" s="92"/>
      <c r="I147" s="92"/>
      <c r="J147" s="92"/>
      <c r="K147" s="92"/>
      <c r="L147" s="92"/>
      <c r="M147" s="92"/>
      <c r="N147" s="93"/>
      <c r="O147" s="93"/>
      <c r="P147" s="93"/>
      <c r="Q147" s="93"/>
      <c r="R147" s="94"/>
      <c r="S147" s="28"/>
      <c r="T147" s="28"/>
      <c r="U147" s="110"/>
      <c r="V147" s="126"/>
    </row>
    <row r="148" spans="6:22" s="6" customFormat="1" ht="20.100000000000001" customHeight="1" x14ac:dyDescent="0.25">
      <c r="F148" s="28"/>
      <c r="G148" s="28"/>
      <c r="H148" s="92"/>
      <c r="I148" s="92"/>
      <c r="J148" s="92"/>
      <c r="K148" s="92"/>
      <c r="L148" s="92"/>
      <c r="M148" s="92"/>
      <c r="N148" s="93"/>
      <c r="O148" s="93"/>
      <c r="P148" s="93"/>
      <c r="Q148" s="93"/>
      <c r="R148" s="94"/>
      <c r="S148" s="28"/>
      <c r="T148" s="28"/>
      <c r="U148" s="110"/>
      <c r="V148" s="126"/>
    </row>
    <row r="149" spans="6:22" s="6" customFormat="1" ht="20.100000000000001" customHeight="1" x14ac:dyDescent="0.25">
      <c r="F149" s="28"/>
      <c r="G149" s="28"/>
      <c r="H149" s="92"/>
      <c r="I149" s="92"/>
      <c r="J149" s="92"/>
      <c r="K149" s="92"/>
      <c r="L149" s="92"/>
      <c r="M149" s="92"/>
      <c r="N149" s="93"/>
      <c r="O149" s="93"/>
      <c r="P149" s="93"/>
      <c r="Q149" s="93"/>
      <c r="R149" s="94"/>
      <c r="S149" s="28"/>
      <c r="T149" s="28"/>
      <c r="U149" s="110"/>
      <c r="V149" s="126"/>
    </row>
    <row r="150" spans="6:22" s="6" customFormat="1" ht="20.100000000000001" customHeight="1" x14ac:dyDescent="0.25">
      <c r="F150" s="28"/>
      <c r="G150" s="28"/>
      <c r="H150" s="92"/>
      <c r="I150" s="92"/>
      <c r="J150" s="92"/>
      <c r="K150" s="92"/>
      <c r="L150" s="92"/>
      <c r="M150" s="92"/>
      <c r="N150" s="93"/>
      <c r="O150" s="93"/>
      <c r="P150" s="93"/>
      <c r="Q150" s="93"/>
      <c r="R150" s="94"/>
      <c r="S150" s="28"/>
      <c r="T150" s="28"/>
      <c r="U150" s="110"/>
      <c r="V150" s="126"/>
    </row>
    <row r="151" spans="6:22" s="6" customFormat="1" ht="20.100000000000001" customHeight="1" x14ac:dyDescent="0.25">
      <c r="F151" s="28"/>
      <c r="G151" s="28"/>
      <c r="H151" s="92"/>
      <c r="I151" s="92"/>
      <c r="J151" s="92"/>
      <c r="K151" s="92"/>
      <c r="L151" s="92"/>
      <c r="M151" s="92"/>
      <c r="N151" s="93"/>
      <c r="O151" s="93"/>
      <c r="P151" s="93"/>
      <c r="Q151" s="93"/>
      <c r="R151" s="94"/>
      <c r="S151" s="28"/>
      <c r="T151" s="28"/>
      <c r="U151" s="110"/>
      <c r="V151" s="126"/>
    </row>
    <row r="152" spans="6:22" s="6" customFormat="1" ht="20.100000000000001" customHeight="1" x14ac:dyDescent="0.25">
      <c r="F152" s="28"/>
      <c r="G152" s="28"/>
      <c r="H152" s="92"/>
      <c r="I152" s="92"/>
      <c r="J152" s="92"/>
      <c r="K152" s="92"/>
      <c r="L152" s="92"/>
      <c r="M152" s="92"/>
      <c r="N152" s="93"/>
      <c r="O152" s="93"/>
      <c r="P152" s="93"/>
      <c r="Q152" s="93"/>
      <c r="R152" s="94"/>
      <c r="S152" s="28"/>
      <c r="T152" s="28"/>
      <c r="U152" s="110"/>
      <c r="V152" s="126"/>
    </row>
    <row r="153" spans="6:22" s="6" customFormat="1" ht="20.100000000000001" customHeight="1" x14ac:dyDescent="0.25">
      <c r="F153" s="28"/>
      <c r="G153" s="28"/>
      <c r="H153" s="92"/>
      <c r="I153" s="92"/>
      <c r="J153" s="92"/>
      <c r="K153" s="92"/>
      <c r="L153" s="92"/>
      <c r="M153" s="92"/>
      <c r="N153" s="93"/>
      <c r="O153" s="93"/>
      <c r="P153" s="93"/>
      <c r="Q153" s="93"/>
      <c r="R153" s="94"/>
      <c r="S153" s="28"/>
      <c r="T153" s="28"/>
      <c r="U153" s="110"/>
      <c r="V153" s="126"/>
    </row>
    <row r="154" spans="6:22" s="6" customFormat="1" ht="20.100000000000001" customHeight="1" x14ac:dyDescent="0.25">
      <c r="F154" s="28"/>
      <c r="G154" s="28"/>
      <c r="H154" s="92"/>
      <c r="I154" s="92"/>
      <c r="J154" s="92"/>
      <c r="K154" s="92"/>
      <c r="L154" s="92"/>
      <c r="M154" s="92"/>
      <c r="N154" s="93"/>
      <c r="O154" s="93"/>
      <c r="P154" s="93"/>
      <c r="Q154" s="93"/>
      <c r="R154" s="94"/>
      <c r="S154" s="28"/>
      <c r="T154" s="28"/>
      <c r="U154" s="110"/>
      <c r="V154" s="126"/>
    </row>
    <row r="155" spans="6:22" s="6" customFormat="1" ht="20.100000000000001" customHeight="1" x14ac:dyDescent="0.25">
      <c r="F155" s="28"/>
      <c r="G155" s="28"/>
      <c r="H155" s="92"/>
      <c r="I155" s="92"/>
      <c r="J155" s="92"/>
      <c r="K155" s="92"/>
      <c r="L155" s="92"/>
      <c r="M155" s="92"/>
      <c r="N155" s="93"/>
      <c r="O155" s="93"/>
      <c r="P155" s="93"/>
      <c r="Q155" s="93"/>
      <c r="R155" s="94"/>
      <c r="S155" s="28"/>
      <c r="T155" s="28"/>
      <c r="U155" s="110"/>
      <c r="V155" s="126"/>
    </row>
    <row r="156" spans="6:22" s="6" customFormat="1" ht="20.100000000000001" customHeight="1" x14ac:dyDescent="0.25">
      <c r="F156" s="28"/>
      <c r="G156" s="28"/>
      <c r="H156" s="92"/>
      <c r="I156" s="92"/>
      <c r="J156" s="92"/>
      <c r="K156" s="92"/>
      <c r="L156" s="92"/>
      <c r="M156" s="92"/>
      <c r="N156" s="93"/>
      <c r="O156" s="93"/>
      <c r="P156" s="93"/>
      <c r="Q156" s="93"/>
      <c r="R156" s="94"/>
      <c r="S156" s="28"/>
      <c r="T156" s="28"/>
      <c r="U156" s="110"/>
      <c r="V156" s="126"/>
    </row>
    <row r="157" spans="6:22" s="6" customFormat="1" ht="20.100000000000001" customHeight="1" x14ac:dyDescent="0.25">
      <c r="F157" s="28"/>
      <c r="G157" s="28"/>
      <c r="H157" s="92"/>
      <c r="I157" s="92"/>
      <c r="J157" s="92"/>
      <c r="K157" s="92"/>
      <c r="L157" s="92"/>
      <c r="M157" s="92"/>
      <c r="N157" s="93"/>
      <c r="O157" s="93"/>
      <c r="P157" s="93"/>
      <c r="Q157" s="93"/>
      <c r="R157" s="94"/>
      <c r="S157" s="28"/>
      <c r="T157" s="28"/>
      <c r="U157" s="110"/>
      <c r="V157" s="126"/>
    </row>
    <row r="158" spans="6:22" s="6" customFormat="1" ht="20.100000000000001" customHeight="1" x14ac:dyDescent="0.25">
      <c r="F158" s="28"/>
      <c r="G158" s="28"/>
      <c r="H158" s="92"/>
      <c r="I158" s="92"/>
      <c r="J158" s="92"/>
      <c r="K158" s="92"/>
      <c r="L158" s="92"/>
      <c r="M158" s="92"/>
      <c r="N158" s="93"/>
      <c r="O158" s="93"/>
      <c r="P158" s="93"/>
      <c r="Q158" s="93"/>
      <c r="R158" s="94"/>
      <c r="S158" s="28"/>
      <c r="T158" s="28"/>
      <c r="U158" s="110"/>
      <c r="V158" s="126"/>
    </row>
    <row r="159" spans="6:22" s="6" customFormat="1" ht="20.100000000000001" customHeight="1" x14ac:dyDescent="0.25">
      <c r="F159" s="28"/>
      <c r="G159" s="28"/>
      <c r="H159" s="92"/>
      <c r="I159" s="92"/>
      <c r="J159" s="92"/>
      <c r="K159" s="92"/>
      <c r="L159" s="92"/>
      <c r="M159" s="92"/>
      <c r="N159" s="93"/>
      <c r="O159" s="93"/>
      <c r="P159" s="93"/>
      <c r="Q159" s="93"/>
      <c r="R159" s="94"/>
      <c r="S159" s="28"/>
      <c r="T159" s="28"/>
      <c r="U159" s="110"/>
      <c r="V159" s="126"/>
    </row>
    <row r="160" spans="6:22" s="6" customFormat="1" ht="20.100000000000001" customHeight="1" x14ac:dyDescent="0.25">
      <c r="F160" s="28"/>
      <c r="G160" s="28"/>
      <c r="H160" s="92"/>
      <c r="I160" s="92"/>
      <c r="J160" s="92"/>
      <c r="K160" s="92"/>
      <c r="L160" s="92"/>
      <c r="M160" s="92"/>
      <c r="N160" s="93"/>
      <c r="O160" s="93"/>
      <c r="P160" s="93"/>
      <c r="Q160" s="93"/>
      <c r="R160" s="94"/>
      <c r="S160" s="28"/>
      <c r="T160" s="28"/>
      <c r="U160" s="110"/>
      <c r="V160" s="126"/>
    </row>
    <row r="161" spans="6:22" s="6" customFormat="1" ht="20.100000000000001" customHeight="1" x14ac:dyDescent="0.25">
      <c r="F161" s="28"/>
      <c r="G161" s="28"/>
      <c r="H161" s="92"/>
      <c r="I161" s="92"/>
      <c r="J161" s="92"/>
      <c r="K161" s="92"/>
      <c r="L161" s="92"/>
      <c r="M161" s="92"/>
      <c r="N161" s="93"/>
      <c r="O161" s="93"/>
      <c r="P161" s="93"/>
      <c r="Q161" s="93"/>
      <c r="R161" s="94"/>
      <c r="S161" s="28"/>
      <c r="T161" s="28"/>
      <c r="U161" s="110"/>
      <c r="V161" s="126"/>
    </row>
    <row r="162" spans="6:22" s="6" customFormat="1" ht="20.100000000000001" customHeight="1" x14ac:dyDescent="0.25">
      <c r="F162" s="28"/>
      <c r="G162" s="28"/>
      <c r="H162" s="92"/>
      <c r="I162" s="92"/>
      <c r="J162" s="92"/>
      <c r="K162" s="92"/>
      <c r="L162" s="92"/>
      <c r="M162" s="92"/>
      <c r="N162" s="93"/>
      <c r="O162" s="93"/>
      <c r="P162" s="93"/>
      <c r="Q162" s="93"/>
      <c r="R162" s="94"/>
      <c r="S162" s="28"/>
      <c r="T162" s="28"/>
      <c r="U162" s="110"/>
      <c r="V162" s="126"/>
    </row>
    <row r="163" spans="6:22" s="6" customFormat="1" ht="20.100000000000001" customHeight="1" x14ac:dyDescent="0.25">
      <c r="F163" s="28"/>
      <c r="G163" s="28"/>
      <c r="H163" s="92"/>
      <c r="I163" s="92"/>
      <c r="J163" s="92"/>
      <c r="K163" s="92"/>
      <c r="L163" s="92"/>
      <c r="M163" s="92"/>
      <c r="N163" s="93"/>
      <c r="O163" s="93"/>
      <c r="P163" s="93"/>
      <c r="Q163" s="93"/>
      <c r="R163" s="94"/>
      <c r="S163" s="28"/>
      <c r="T163" s="28"/>
      <c r="U163" s="110"/>
      <c r="V163" s="126"/>
    </row>
    <row r="164" spans="6:22" s="6" customFormat="1" ht="20.100000000000001" customHeight="1" x14ac:dyDescent="0.25">
      <c r="F164" s="28"/>
      <c r="G164" s="28"/>
      <c r="H164" s="92"/>
      <c r="I164" s="92"/>
      <c r="J164" s="92"/>
      <c r="K164" s="92"/>
      <c r="L164" s="92"/>
      <c r="M164" s="92"/>
      <c r="N164" s="93"/>
      <c r="O164" s="93"/>
      <c r="P164" s="93"/>
      <c r="Q164" s="93"/>
      <c r="R164" s="94"/>
      <c r="S164" s="28"/>
      <c r="T164" s="28"/>
      <c r="U164" s="110"/>
      <c r="V164" s="126"/>
    </row>
    <row r="165" spans="6:22" s="6" customFormat="1" ht="20.100000000000001" customHeight="1" x14ac:dyDescent="0.25">
      <c r="F165" s="28"/>
      <c r="G165" s="28"/>
      <c r="H165" s="92"/>
      <c r="I165" s="92"/>
      <c r="J165" s="92"/>
      <c r="K165" s="92"/>
      <c r="L165" s="92"/>
      <c r="M165" s="92"/>
      <c r="N165" s="93"/>
      <c r="O165" s="93"/>
      <c r="P165" s="93"/>
      <c r="Q165" s="93"/>
      <c r="R165" s="94"/>
      <c r="S165" s="28"/>
      <c r="T165" s="28"/>
      <c r="U165" s="110"/>
      <c r="V165" s="126"/>
    </row>
    <row r="166" spans="6:22" s="6" customFormat="1" ht="20.100000000000001" customHeight="1" x14ac:dyDescent="0.25">
      <c r="F166" s="28"/>
      <c r="G166" s="28"/>
      <c r="H166" s="92"/>
      <c r="I166" s="92"/>
      <c r="J166" s="92"/>
      <c r="K166" s="92"/>
      <c r="L166" s="92"/>
      <c r="M166" s="92"/>
      <c r="N166" s="93"/>
      <c r="O166" s="93"/>
      <c r="P166" s="93"/>
      <c r="Q166" s="93"/>
      <c r="R166" s="94"/>
      <c r="S166" s="28"/>
      <c r="T166" s="28"/>
      <c r="U166" s="110"/>
      <c r="V166" s="126"/>
    </row>
    <row r="167" spans="6:22" s="6" customFormat="1" ht="20.100000000000001" customHeight="1" x14ac:dyDescent="0.25">
      <c r="F167" s="28"/>
      <c r="G167" s="28"/>
      <c r="H167" s="92"/>
      <c r="I167" s="92"/>
      <c r="J167" s="92"/>
      <c r="K167" s="92"/>
      <c r="L167" s="92"/>
      <c r="M167" s="92"/>
      <c r="N167" s="93"/>
      <c r="O167" s="93"/>
      <c r="P167" s="93"/>
      <c r="Q167" s="93"/>
      <c r="R167" s="94"/>
      <c r="S167" s="28"/>
      <c r="T167" s="28"/>
      <c r="U167" s="110"/>
      <c r="V167" s="126"/>
    </row>
    <row r="168" spans="6:22" s="6" customFormat="1" ht="20.100000000000001" customHeight="1" x14ac:dyDescent="0.25">
      <c r="F168" s="28"/>
      <c r="G168" s="28"/>
      <c r="H168" s="92"/>
      <c r="I168" s="92"/>
      <c r="J168" s="92"/>
      <c r="K168" s="92"/>
      <c r="L168" s="92"/>
      <c r="M168" s="92"/>
      <c r="N168" s="93"/>
      <c r="O168" s="93"/>
      <c r="P168" s="93"/>
      <c r="Q168" s="93"/>
      <c r="R168" s="94"/>
      <c r="S168" s="28"/>
      <c r="T168" s="28"/>
      <c r="U168" s="110"/>
      <c r="V168" s="126"/>
    </row>
    <row r="169" spans="6:22" s="6" customFormat="1" ht="20.100000000000001" customHeight="1" x14ac:dyDescent="0.25">
      <c r="F169" s="28"/>
      <c r="G169" s="28"/>
      <c r="H169" s="92"/>
      <c r="I169" s="92"/>
      <c r="J169" s="92"/>
      <c r="K169" s="92"/>
      <c r="L169" s="92"/>
      <c r="M169" s="92"/>
      <c r="N169" s="93"/>
      <c r="O169" s="93"/>
      <c r="P169" s="93"/>
      <c r="Q169" s="93"/>
      <c r="R169" s="94"/>
      <c r="S169" s="28"/>
      <c r="T169" s="28"/>
      <c r="U169" s="110"/>
      <c r="V169" s="126"/>
    </row>
    <row r="170" spans="6:22" s="6" customFormat="1" ht="20.100000000000001" customHeight="1" x14ac:dyDescent="0.25">
      <c r="F170" s="28"/>
      <c r="G170" s="28"/>
      <c r="H170" s="92"/>
      <c r="I170" s="92"/>
      <c r="J170" s="92"/>
      <c r="K170" s="92"/>
      <c r="L170" s="92"/>
      <c r="M170" s="92"/>
      <c r="N170" s="93"/>
      <c r="O170" s="93"/>
      <c r="P170" s="93"/>
      <c r="Q170" s="93"/>
      <c r="R170" s="94"/>
      <c r="S170" s="28"/>
      <c r="T170" s="28"/>
      <c r="U170" s="110"/>
      <c r="V170" s="126"/>
    </row>
    <row r="171" spans="6:22" s="6" customFormat="1" ht="20.100000000000001" customHeight="1" x14ac:dyDescent="0.25">
      <c r="F171" s="28"/>
      <c r="G171" s="28"/>
      <c r="H171" s="92"/>
      <c r="I171" s="92"/>
      <c r="J171" s="92"/>
      <c r="K171" s="92"/>
      <c r="L171" s="92"/>
      <c r="M171" s="92"/>
      <c r="N171" s="93"/>
      <c r="O171" s="93"/>
      <c r="P171" s="93"/>
      <c r="Q171" s="93"/>
      <c r="R171" s="94"/>
      <c r="S171" s="28"/>
      <c r="T171" s="28"/>
      <c r="U171" s="110"/>
      <c r="V171" s="126"/>
    </row>
    <row r="172" spans="6:22" s="6" customFormat="1" ht="20.100000000000001" customHeight="1" x14ac:dyDescent="0.25">
      <c r="F172" s="28"/>
      <c r="G172" s="28"/>
      <c r="H172" s="92"/>
      <c r="I172" s="92"/>
      <c r="J172" s="92"/>
      <c r="K172" s="92"/>
      <c r="L172" s="92"/>
      <c r="M172" s="92"/>
      <c r="N172" s="93"/>
      <c r="O172" s="93"/>
      <c r="P172" s="93"/>
      <c r="Q172" s="93"/>
      <c r="R172" s="94"/>
      <c r="S172" s="28"/>
      <c r="T172" s="28"/>
      <c r="U172" s="110"/>
      <c r="V172" s="126"/>
    </row>
    <row r="173" spans="6:22" s="6" customFormat="1" ht="20.100000000000001" customHeight="1" x14ac:dyDescent="0.25">
      <c r="F173" s="28"/>
      <c r="G173" s="28"/>
      <c r="H173" s="92"/>
      <c r="I173" s="92"/>
      <c r="J173" s="92"/>
      <c r="K173" s="92"/>
      <c r="L173" s="92"/>
      <c r="M173" s="92"/>
      <c r="N173" s="93"/>
      <c r="O173" s="93"/>
      <c r="P173" s="93"/>
      <c r="Q173" s="93"/>
      <c r="R173" s="94"/>
      <c r="S173" s="28"/>
      <c r="T173" s="28"/>
      <c r="U173" s="110"/>
      <c r="V173" s="126"/>
    </row>
    <row r="174" spans="6:22" s="6" customFormat="1" ht="20.100000000000001" customHeight="1" x14ac:dyDescent="0.25">
      <c r="F174" s="28"/>
      <c r="G174" s="28"/>
      <c r="H174" s="92"/>
      <c r="I174" s="92"/>
      <c r="J174" s="92"/>
      <c r="K174" s="92"/>
      <c r="L174" s="92"/>
      <c r="M174" s="92"/>
      <c r="N174" s="93"/>
      <c r="O174" s="93"/>
      <c r="P174" s="93"/>
      <c r="Q174" s="93"/>
      <c r="R174" s="94"/>
      <c r="S174" s="28"/>
      <c r="T174" s="28"/>
      <c r="U174" s="110"/>
      <c r="V174" s="126"/>
    </row>
    <row r="175" spans="6:22" s="6" customFormat="1" ht="20.100000000000001" customHeight="1" x14ac:dyDescent="0.25">
      <c r="F175" s="28"/>
      <c r="G175" s="28"/>
      <c r="H175" s="92"/>
      <c r="I175" s="92"/>
      <c r="J175" s="92"/>
      <c r="K175" s="92"/>
      <c r="L175" s="92"/>
      <c r="M175" s="92"/>
      <c r="N175" s="93"/>
      <c r="O175" s="93"/>
      <c r="P175" s="93"/>
      <c r="Q175" s="93"/>
      <c r="R175" s="94"/>
      <c r="S175" s="28"/>
      <c r="T175" s="28"/>
      <c r="U175" s="110"/>
      <c r="V175" s="126"/>
    </row>
    <row r="176" spans="6:22" s="6" customFormat="1" ht="20.100000000000001" customHeight="1" x14ac:dyDescent="0.25">
      <c r="F176" s="28"/>
      <c r="G176" s="28"/>
      <c r="H176" s="92"/>
      <c r="I176" s="92"/>
      <c r="J176" s="92"/>
      <c r="K176" s="92"/>
      <c r="L176" s="92"/>
      <c r="M176" s="92"/>
      <c r="N176" s="93"/>
      <c r="O176" s="93"/>
      <c r="P176" s="93"/>
      <c r="Q176" s="93"/>
      <c r="R176" s="94"/>
      <c r="S176" s="28"/>
      <c r="T176" s="28"/>
      <c r="U176" s="110"/>
      <c r="V176" s="126"/>
    </row>
    <row r="177" spans="6:22" s="6" customFormat="1" ht="20.100000000000001" customHeight="1" x14ac:dyDescent="0.25">
      <c r="F177" s="28"/>
      <c r="G177" s="28"/>
      <c r="H177" s="92"/>
      <c r="I177" s="92"/>
      <c r="J177" s="92"/>
      <c r="K177" s="92"/>
      <c r="L177" s="92"/>
      <c r="M177" s="92"/>
      <c r="N177" s="93"/>
      <c r="O177" s="93"/>
      <c r="P177" s="93"/>
      <c r="Q177" s="93"/>
      <c r="R177" s="94"/>
      <c r="S177" s="28"/>
      <c r="T177" s="28"/>
      <c r="U177" s="110"/>
      <c r="V177" s="126"/>
    </row>
    <row r="178" spans="6:22" s="6" customFormat="1" ht="20.100000000000001" customHeight="1" x14ac:dyDescent="0.25">
      <c r="F178" s="28"/>
      <c r="G178" s="28"/>
      <c r="H178" s="92"/>
      <c r="I178" s="92"/>
      <c r="J178" s="92"/>
      <c r="K178" s="92"/>
      <c r="L178" s="92"/>
      <c r="M178" s="92"/>
      <c r="N178" s="93"/>
      <c r="O178" s="93"/>
      <c r="P178" s="93"/>
      <c r="Q178" s="93"/>
      <c r="R178" s="94"/>
      <c r="S178" s="28"/>
      <c r="T178" s="28"/>
      <c r="U178" s="110"/>
      <c r="V178" s="126"/>
    </row>
    <row r="179" spans="6:22" s="6" customFormat="1" ht="20.100000000000001" customHeight="1" x14ac:dyDescent="0.25">
      <c r="F179" s="28"/>
      <c r="G179" s="28"/>
      <c r="H179" s="92"/>
      <c r="I179" s="92"/>
      <c r="J179" s="92"/>
      <c r="K179" s="92"/>
      <c r="L179" s="92"/>
      <c r="M179" s="92"/>
      <c r="N179" s="93"/>
      <c r="O179" s="93"/>
      <c r="P179" s="93"/>
      <c r="Q179" s="93"/>
      <c r="R179" s="94"/>
      <c r="S179" s="28"/>
      <c r="T179" s="28"/>
      <c r="U179" s="110"/>
      <c r="V179" s="126"/>
    </row>
    <row r="180" spans="6:22" s="6" customFormat="1" ht="20.100000000000001" customHeight="1" x14ac:dyDescent="0.25">
      <c r="F180" s="28"/>
      <c r="G180" s="28"/>
      <c r="H180" s="92"/>
      <c r="I180" s="92"/>
      <c r="J180" s="92"/>
      <c r="K180" s="92"/>
      <c r="L180" s="92"/>
      <c r="M180" s="92"/>
      <c r="N180" s="93"/>
      <c r="O180" s="93"/>
      <c r="P180" s="93"/>
      <c r="Q180" s="93"/>
      <c r="R180" s="94"/>
      <c r="S180" s="28"/>
      <c r="T180" s="28"/>
      <c r="U180" s="110"/>
      <c r="V180" s="126"/>
    </row>
    <row r="181" spans="6:22" s="6" customFormat="1" ht="20.100000000000001" customHeight="1" x14ac:dyDescent="0.25">
      <c r="F181" s="28"/>
      <c r="G181" s="28"/>
      <c r="H181" s="92"/>
      <c r="I181" s="92"/>
      <c r="J181" s="92"/>
      <c r="K181" s="92"/>
      <c r="L181" s="92"/>
      <c r="M181" s="92"/>
      <c r="N181" s="93"/>
      <c r="O181" s="93"/>
      <c r="P181" s="93"/>
      <c r="Q181" s="93"/>
      <c r="R181" s="94"/>
      <c r="S181" s="28"/>
      <c r="T181" s="28"/>
      <c r="U181" s="110"/>
      <c r="V181" s="126"/>
    </row>
    <row r="182" spans="6:22" s="6" customFormat="1" ht="20.100000000000001" customHeight="1" x14ac:dyDescent="0.25">
      <c r="F182" s="28"/>
      <c r="G182" s="28"/>
      <c r="H182" s="92"/>
      <c r="I182" s="92"/>
      <c r="J182" s="92"/>
      <c r="K182" s="92"/>
      <c r="L182" s="92"/>
      <c r="M182" s="92"/>
      <c r="N182" s="93"/>
      <c r="O182" s="93"/>
      <c r="P182" s="93"/>
      <c r="Q182" s="93"/>
      <c r="R182" s="94"/>
      <c r="S182" s="28"/>
      <c r="T182" s="28"/>
      <c r="U182" s="110"/>
      <c r="V182" s="126"/>
    </row>
    <row r="183" spans="6:22" s="6" customFormat="1" ht="20.100000000000001" customHeight="1" x14ac:dyDescent="0.25">
      <c r="F183" s="28"/>
      <c r="G183" s="28"/>
      <c r="H183" s="92"/>
      <c r="I183" s="92"/>
      <c r="J183" s="92"/>
      <c r="K183" s="92"/>
      <c r="L183" s="92"/>
      <c r="M183" s="92"/>
      <c r="N183" s="93"/>
      <c r="O183" s="93"/>
      <c r="P183" s="93"/>
      <c r="Q183" s="93"/>
      <c r="R183" s="94"/>
      <c r="S183" s="28"/>
      <c r="T183" s="28"/>
      <c r="U183" s="110"/>
      <c r="V183" s="126"/>
    </row>
    <row r="184" spans="6:22" s="6" customFormat="1" ht="20.100000000000001" customHeight="1" x14ac:dyDescent="0.25">
      <c r="F184" s="28"/>
      <c r="G184" s="28"/>
      <c r="H184" s="92"/>
      <c r="I184" s="92"/>
      <c r="J184" s="92"/>
      <c r="K184" s="92"/>
      <c r="L184" s="92"/>
      <c r="M184" s="92"/>
      <c r="N184" s="93"/>
      <c r="O184" s="93"/>
      <c r="P184" s="93"/>
      <c r="Q184" s="93"/>
      <c r="R184" s="94"/>
      <c r="S184" s="28"/>
      <c r="T184" s="28"/>
      <c r="U184" s="110"/>
      <c r="V184" s="126"/>
    </row>
    <row r="185" spans="6:22" s="6" customFormat="1" ht="20.100000000000001" customHeight="1" x14ac:dyDescent="0.25">
      <c r="F185" s="28"/>
      <c r="G185" s="28"/>
      <c r="H185" s="92"/>
      <c r="I185" s="92"/>
      <c r="J185" s="92"/>
      <c r="K185" s="92"/>
      <c r="L185" s="92"/>
      <c r="M185" s="92"/>
      <c r="N185" s="93"/>
      <c r="O185" s="93"/>
      <c r="P185" s="93"/>
      <c r="Q185" s="93"/>
      <c r="R185" s="94"/>
      <c r="S185" s="28"/>
      <c r="T185" s="28"/>
      <c r="U185" s="110"/>
      <c r="V185" s="126"/>
    </row>
    <row r="186" spans="6:22" s="6" customFormat="1" ht="20.100000000000001" customHeight="1" x14ac:dyDescent="0.25">
      <c r="F186" s="28"/>
      <c r="G186" s="28"/>
      <c r="H186" s="92"/>
      <c r="I186" s="92"/>
      <c r="J186" s="92"/>
      <c r="K186" s="92"/>
      <c r="L186" s="92"/>
      <c r="M186" s="92"/>
      <c r="N186" s="93"/>
      <c r="O186" s="93"/>
      <c r="P186" s="93"/>
      <c r="Q186" s="93"/>
      <c r="R186" s="94"/>
      <c r="S186" s="28"/>
      <c r="T186" s="28"/>
      <c r="U186" s="110"/>
      <c r="V186" s="126"/>
    </row>
    <row r="187" spans="6:22" s="6" customFormat="1" ht="20.100000000000001" customHeight="1" x14ac:dyDescent="0.25">
      <c r="F187" s="28"/>
      <c r="G187" s="28"/>
      <c r="H187" s="92"/>
      <c r="I187" s="92"/>
      <c r="J187" s="92"/>
      <c r="K187" s="92"/>
      <c r="L187" s="92"/>
      <c r="M187" s="92"/>
      <c r="N187" s="93"/>
      <c r="O187" s="93"/>
      <c r="P187" s="93"/>
      <c r="Q187" s="93"/>
      <c r="R187" s="94"/>
      <c r="S187" s="28"/>
      <c r="T187" s="28"/>
      <c r="U187" s="110"/>
      <c r="V187" s="126"/>
    </row>
    <row r="188" spans="6:22" s="6" customFormat="1" ht="20.100000000000001" customHeight="1" x14ac:dyDescent="0.25">
      <c r="F188" s="28"/>
      <c r="G188" s="28"/>
      <c r="H188" s="92"/>
      <c r="I188" s="92"/>
      <c r="J188" s="92"/>
      <c r="K188" s="92"/>
      <c r="L188" s="92"/>
      <c r="M188" s="92"/>
      <c r="N188" s="93"/>
      <c r="O188" s="93"/>
      <c r="P188" s="93"/>
      <c r="Q188" s="93"/>
      <c r="R188" s="94"/>
      <c r="S188" s="28"/>
      <c r="T188" s="28"/>
      <c r="U188" s="110"/>
      <c r="V188" s="126"/>
    </row>
    <row r="189" spans="6:22" s="6" customFormat="1" ht="20.100000000000001" customHeight="1" x14ac:dyDescent="0.25">
      <c r="F189" s="28"/>
      <c r="G189" s="28"/>
      <c r="H189" s="92"/>
      <c r="I189" s="92"/>
      <c r="J189" s="92"/>
      <c r="K189" s="92"/>
      <c r="L189" s="92"/>
      <c r="M189" s="92"/>
      <c r="N189" s="93"/>
      <c r="O189" s="93"/>
      <c r="P189" s="93"/>
      <c r="Q189" s="93"/>
      <c r="R189" s="94"/>
      <c r="S189" s="28"/>
      <c r="T189" s="28"/>
      <c r="U189" s="110"/>
      <c r="V189" s="126"/>
    </row>
    <row r="190" spans="6:22" s="6" customFormat="1" ht="20.100000000000001" customHeight="1" x14ac:dyDescent="0.25">
      <c r="F190" s="28"/>
      <c r="G190" s="28"/>
      <c r="H190" s="92"/>
      <c r="I190" s="92"/>
      <c r="J190" s="92"/>
      <c r="K190" s="92"/>
      <c r="L190" s="92"/>
      <c r="M190" s="92"/>
      <c r="N190" s="93"/>
      <c r="O190" s="93"/>
      <c r="P190" s="93"/>
      <c r="Q190" s="93"/>
      <c r="R190" s="94"/>
      <c r="S190" s="28"/>
      <c r="T190" s="28"/>
      <c r="U190" s="110"/>
      <c r="V190" s="126"/>
    </row>
    <row r="191" spans="6:22" s="6" customFormat="1" ht="20.100000000000001" customHeight="1" x14ac:dyDescent="0.25">
      <c r="F191" s="28"/>
      <c r="G191" s="28"/>
      <c r="H191" s="92"/>
      <c r="I191" s="92"/>
      <c r="J191" s="92"/>
      <c r="K191" s="92"/>
      <c r="L191" s="92"/>
      <c r="M191" s="92"/>
      <c r="N191" s="93"/>
      <c r="O191" s="93"/>
      <c r="P191" s="93"/>
      <c r="Q191" s="93"/>
      <c r="R191" s="94"/>
      <c r="S191" s="28"/>
      <c r="T191" s="28"/>
      <c r="U191" s="110"/>
      <c r="V191" s="126"/>
    </row>
    <row r="192" spans="6:22" s="6" customFormat="1" ht="20.100000000000001" customHeight="1" x14ac:dyDescent="0.25">
      <c r="F192" s="28"/>
      <c r="G192" s="28"/>
      <c r="H192" s="92"/>
      <c r="I192" s="92"/>
      <c r="J192" s="92"/>
      <c r="K192" s="92"/>
      <c r="L192" s="92"/>
      <c r="M192" s="92"/>
      <c r="N192" s="93"/>
      <c r="O192" s="93"/>
      <c r="P192" s="93"/>
      <c r="Q192" s="93"/>
      <c r="R192" s="94"/>
      <c r="S192" s="28"/>
      <c r="T192" s="28"/>
      <c r="U192" s="110"/>
      <c r="V192" s="126"/>
    </row>
    <row r="193" spans="6:22" s="6" customFormat="1" ht="20.100000000000001" customHeight="1" x14ac:dyDescent="0.25">
      <c r="F193" s="28"/>
      <c r="G193" s="28"/>
      <c r="H193" s="92"/>
      <c r="I193" s="92"/>
      <c r="J193" s="92"/>
      <c r="K193" s="92"/>
      <c r="L193" s="92"/>
      <c r="M193" s="92"/>
      <c r="N193" s="93"/>
      <c r="O193" s="93"/>
      <c r="P193" s="93"/>
      <c r="Q193" s="93"/>
      <c r="R193" s="94"/>
      <c r="S193" s="28"/>
      <c r="T193" s="28"/>
      <c r="U193" s="110"/>
      <c r="V193" s="126"/>
    </row>
    <row r="194" spans="6:22" s="6" customFormat="1" ht="20.100000000000001" customHeight="1" x14ac:dyDescent="0.25">
      <c r="F194" s="28"/>
      <c r="G194" s="28"/>
      <c r="H194" s="92"/>
      <c r="I194" s="92"/>
      <c r="J194" s="92"/>
      <c r="K194" s="92"/>
      <c r="L194" s="92"/>
      <c r="M194" s="92"/>
      <c r="N194" s="93"/>
      <c r="O194" s="93"/>
      <c r="P194" s="93"/>
      <c r="Q194" s="93"/>
      <c r="R194" s="94"/>
      <c r="S194" s="28"/>
      <c r="T194" s="28"/>
      <c r="U194" s="110"/>
      <c r="V194" s="126"/>
    </row>
    <row r="195" spans="6:22" s="6" customFormat="1" ht="20.100000000000001" customHeight="1" x14ac:dyDescent="0.25">
      <c r="F195" s="28"/>
      <c r="G195" s="28"/>
      <c r="H195" s="92"/>
      <c r="I195" s="92"/>
      <c r="J195" s="92"/>
      <c r="K195" s="92"/>
      <c r="L195" s="92"/>
      <c r="M195" s="92"/>
      <c r="N195" s="93"/>
      <c r="O195" s="93"/>
      <c r="P195" s="93"/>
      <c r="Q195" s="93"/>
      <c r="R195" s="94"/>
      <c r="S195" s="28"/>
      <c r="T195" s="28"/>
      <c r="U195" s="110"/>
      <c r="V195" s="126"/>
    </row>
    <row r="196" spans="6:22" s="6" customFormat="1" ht="20.100000000000001" customHeight="1" x14ac:dyDescent="0.25">
      <c r="F196" s="28"/>
      <c r="G196" s="28"/>
      <c r="H196" s="92"/>
      <c r="I196" s="92"/>
      <c r="J196" s="92"/>
      <c r="K196" s="92"/>
      <c r="L196" s="92"/>
      <c r="M196" s="92"/>
      <c r="N196" s="93"/>
      <c r="O196" s="93"/>
      <c r="P196" s="93"/>
      <c r="Q196" s="93"/>
      <c r="R196" s="94"/>
      <c r="S196" s="28"/>
      <c r="T196" s="28"/>
      <c r="U196" s="110"/>
      <c r="V196" s="126"/>
    </row>
    <row r="197" spans="6:22" s="6" customFormat="1" ht="20.100000000000001" customHeight="1" x14ac:dyDescent="0.25">
      <c r="F197" s="28"/>
      <c r="G197" s="28"/>
      <c r="H197" s="92"/>
      <c r="I197" s="92"/>
      <c r="J197" s="92"/>
      <c r="K197" s="92"/>
      <c r="L197" s="92"/>
      <c r="M197" s="92"/>
      <c r="N197" s="93"/>
      <c r="O197" s="93"/>
      <c r="P197" s="93"/>
      <c r="Q197" s="93"/>
      <c r="R197" s="94"/>
      <c r="S197" s="28"/>
      <c r="T197" s="28"/>
      <c r="U197" s="110"/>
      <c r="V197" s="126"/>
    </row>
    <row r="198" spans="6:22" s="6" customFormat="1" ht="20.100000000000001" customHeight="1" x14ac:dyDescent="0.25">
      <c r="F198" s="28"/>
      <c r="G198" s="28"/>
      <c r="H198" s="92"/>
      <c r="I198" s="92"/>
      <c r="J198" s="92"/>
      <c r="K198" s="92"/>
      <c r="L198" s="92"/>
      <c r="M198" s="92"/>
      <c r="N198" s="93"/>
      <c r="O198" s="93"/>
      <c r="P198" s="93"/>
      <c r="Q198" s="93"/>
      <c r="R198" s="94"/>
      <c r="S198" s="28"/>
      <c r="T198" s="28"/>
      <c r="U198" s="110"/>
      <c r="V198" s="126"/>
    </row>
    <row r="199" spans="6:22" s="6" customFormat="1" ht="20.100000000000001" customHeight="1" x14ac:dyDescent="0.25">
      <c r="F199" s="28"/>
      <c r="G199" s="28"/>
      <c r="H199" s="92"/>
      <c r="I199" s="92"/>
      <c r="J199" s="92"/>
      <c r="K199" s="92"/>
      <c r="L199" s="92"/>
      <c r="M199" s="92"/>
      <c r="N199" s="93"/>
      <c r="O199" s="93"/>
      <c r="P199" s="93"/>
      <c r="Q199" s="93"/>
      <c r="R199" s="94"/>
      <c r="S199" s="28"/>
      <c r="T199" s="28"/>
      <c r="U199" s="110"/>
      <c r="V199" s="126"/>
    </row>
    <row r="200" spans="6:22" s="6" customFormat="1" ht="20.100000000000001" customHeight="1" x14ac:dyDescent="0.25">
      <c r="F200" s="28"/>
      <c r="G200" s="28"/>
      <c r="H200" s="92"/>
      <c r="I200" s="92"/>
      <c r="J200" s="92"/>
      <c r="K200" s="92"/>
      <c r="L200" s="92"/>
      <c r="M200" s="92"/>
      <c r="N200" s="93"/>
      <c r="O200" s="93"/>
      <c r="P200" s="93"/>
      <c r="Q200" s="93"/>
      <c r="R200" s="94"/>
      <c r="S200" s="28"/>
      <c r="T200" s="28"/>
      <c r="U200" s="110"/>
      <c r="V200" s="126"/>
    </row>
    <row r="201" spans="6:22" s="6" customFormat="1" ht="20.100000000000001" customHeight="1" x14ac:dyDescent="0.25">
      <c r="F201" s="28"/>
      <c r="G201" s="28"/>
      <c r="H201" s="92"/>
      <c r="I201" s="92"/>
      <c r="J201" s="92"/>
      <c r="K201" s="92"/>
      <c r="L201" s="92"/>
      <c r="M201" s="92"/>
      <c r="N201" s="93"/>
      <c r="O201" s="93"/>
      <c r="P201" s="93"/>
      <c r="Q201" s="93"/>
      <c r="R201" s="94"/>
      <c r="S201" s="28"/>
      <c r="T201" s="28"/>
      <c r="U201" s="110"/>
      <c r="V201" s="126"/>
    </row>
    <row r="202" spans="6:22" s="6" customFormat="1" ht="20.100000000000001" customHeight="1" x14ac:dyDescent="0.25">
      <c r="F202" s="28"/>
      <c r="G202" s="28"/>
      <c r="H202" s="92"/>
      <c r="I202" s="92"/>
      <c r="J202" s="92"/>
      <c r="K202" s="92"/>
      <c r="L202" s="92"/>
      <c r="M202" s="92"/>
      <c r="N202" s="93"/>
      <c r="O202" s="93"/>
      <c r="P202" s="93"/>
      <c r="Q202" s="93"/>
      <c r="R202" s="94"/>
      <c r="S202" s="28"/>
      <c r="T202" s="28"/>
      <c r="U202" s="110"/>
      <c r="V202" s="126"/>
    </row>
    <row r="203" spans="6:22" s="6" customFormat="1" ht="20.100000000000001" customHeight="1" x14ac:dyDescent="0.25">
      <c r="F203" s="28"/>
      <c r="G203" s="28"/>
      <c r="H203" s="92"/>
      <c r="I203" s="92"/>
      <c r="J203" s="92"/>
      <c r="K203" s="92"/>
      <c r="L203" s="92"/>
      <c r="M203" s="92"/>
      <c r="N203" s="93"/>
      <c r="O203" s="93"/>
      <c r="P203" s="93"/>
      <c r="Q203" s="93"/>
      <c r="R203" s="94"/>
      <c r="S203" s="28"/>
      <c r="T203" s="28"/>
      <c r="U203" s="110"/>
      <c r="V203" s="126"/>
    </row>
    <row r="204" spans="6:22" s="6" customFormat="1" ht="20.100000000000001" customHeight="1" x14ac:dyDescent="0.25">
      <c r="F204" s="28"/>
      <c r="G204" s="28"/>
      <c r="H204" s="92"/>
      <c r="I204" s="92"/>
      <c r="J204" s="92"/>
      <c r="K204" s="92"/>
      <c r="L204" s="92"/>
      <c r="M204" s="92"/>
      <c r="N204" s="93"/>
      <c r="O204" s="93"/>
      <c r="P204" s="93"/>
      <c r="Q204" s="93"/>
      <c r="R204" s="94"/>
      <c r="S204" s="28"/>
      <c r="T204" s="28"/>
      <c r="U204" s="110"/>
      <c r="V204" s="126"/>
    </row>
    <row r="205" spans="6:22" s="6" customFormat="1" ht="20.100000000000001" customHeight="1" x14ac:dyDescent="0.25">
      <c r="F205" s="28"/>
      <c r="G205" s="28"/>
      <c r="H205" s="92"/>
      <c r="I205" s="92"/>
      <c r="J205" s="92"/>
      <c r="K205" s="92"/>
      <c r="L205" s="92"/>
      <c r="M205" s="92"/>
      <c r="N205" s="93"/>
      <c r="O205" s="93"/>
      <c r="P205" s="93"/>
      <c r="Q205" s="93"/>
      <c r="R205" s="94"/>
      <c r="S205" s="28"/>
      <c r="T205" s="28"/>
      <c r="U205" s="110"/>
      <c r="V205" s="126"/>
    </row>
    <row r="206" spans="6:22" s="6" customFormat="1" ht="20.100000000000001" customHeight="1" x14ac:dyDescent="0.25">
      <c r="F206" s="28"/>
      <c r="G206" s="28"/>
      <c r="H206" s="92"/>
      <c r="I206" s="92"/>
      <c r="J206" s="92"/>
      <c r="K206" s="92"/>
      <c r="L206" s="92"/>
      <c r="M206" s="92"/>
      <c r="N206" s="93"/>
      <c r="O206" s="93"/>
      <c r="P206" s="93"/>
      <c r="Q206" s="93"/>
      <c r="R206" s="94"/>
      <c r="S206" s="28"/>
      <c r="T206" s="28"/>
      <c r="U206" s="110"/>
      <c r="V206" s="126"/>
    </row>
    <row r="207" spans="6:22" s="6" customFormat="1" ht="20.100000000000001" customHeight="1" x14ac:dyDescent="0.25">
      <c r="F207" s="28"/>
      <c r="G207" s="28"/>
      <c r="H207" s="92"/>
      <c r="I207" s="92"/>
      <c r="J207" s="92"/>
      <c r="K207" s="92"/>
      <c r="L207" s="92"/>
      <c r="M207" s="92"/>
      <c r="N207" s="93"/>
      <c r="O207" s="93"/>
      <c r="P207" s="93"/>
      <c r="Q207" s="93"/>
      <c r="R207" s="94"/>
      <c r="S207" s="28"/>
      <c r="T207" s="28"/>
      <c r="U207" s="110"/>
      <c r="V207" s="126"/>
    </row>
    <row r="208" spans="6:22" s="6" customFormat="1" ht="20.100000000000001" customHeight="1" x14ac:dyDescent="0.25">
      <c r="F208" s="28"/>
      <c r="G208" s="28"/>
      <c r="H208" s="92"/>
      <c r="I208" s="92"/>
      <c r="J208" s="92"/>
      <c r="K208" s="92"/>
      <c r="L208" s="92"/>
      <c r="M208" s="92"/>
      <c r="N208" s="93"/>
      <c r="O208" s="93"/>
      <c r="P208" s="93"/>
      <c r="Q208" s="93"/>
      <c r="R208" s="94"/>
      <c r="S208" s="28"/>
      <c r="T208" s="28"/>
      <c r="U208" s="110"/>
      <c r="V208" s="126"/>
    </row>
    <row r="209" spans="6:22" s="6" customFormat="1" ht="20.100000000000001" customHeight="1" x14ac:dyDescent="0.25">
      <c r="F209" s="28"/>
      <c r="G209" s="28"/>
      <c r="H209" s="92"/>
      <c r="I209" s="92"/>
      <c r="J209" s="92"/>
      <c r="K209" s="92"/>
      <c r="L209" s="92"/>
      <c r="M209" s="92"/>
      <c r="N209" s="93"/>
      <c r="O209" s="93"/>
      <c r="P209" s="93"/>
      <c r="Q209" s="93"/>
      <c r="R209" s="94"/>
      <c r="S209" s="28"/>
      <c r="T209" s="28"/>
      <c r="U209" s="110"/>
      <c r="V209" s="126"/>
    </row>
    <row r="210" spans="6:22" s="6" customFormat="1" ht="20.100000000000001" customHeight="1" x14ac:dyDescent="0.25">
      <c r="F210" s="28"/>
      <c r="G210" s="28"/>
      <c r="H210" s="92"/>
      <c r="I210" s="92"/>
      <c r="J210" s="92"/>
      <c r="K210" s="92"/>
      <c r="L210" s="92"/>
      <c r="M210" s="92"/>
      <c r="N210" s="93"/>
      <c r="O210" s="93"/>
      <c r="P210" s="93"/>
      <c r="Q210" s="93"/>
      <c r="R210" s="94"/>
      <c r="S210" s="28"/>
      <c r="T210" s="28"/>
      <c r="U210" s="110"/>
      <c r="V210" s="126"/>
    </row>
    <row r="211" spans="6:22" s="6" customFormat="1" ht="20.100000000000001" customHeight="1" x14ac:dyDescent="0.25">
      <c r="F211" s="28"/>
      <c r="G211" s="28"/>
      <c r="H211" s="92"/>
      <c r="I211" s="92"/>
      <c r="J211" s="92"/>
      <c r="K211" s="92"/>
      <c r="L211" s="92"/>
      <c r="M211" s="92"/>
      <c r="N211" s="93"/>
      <c r="O211" s="93"/>
      <c r="P211" s="93"/>
      <c r="Q211" s="93"/>
      <c r="R211" s="94"/>
      <c r="S211" s="28"/>
      <c r="T211" s="28"/>
      <c r="U211" s="110"/>
      <c r="V211" s="126"/>
    </row>
    <row r="212" spans="6:22" s="6" customFormat="1" ht="20.100000000000001" customHeight="1" x14ac:dyDescent="0.25">
      <c r="F212" s="28"/>
      <c r="G212" s="28"/>
      <c r="H212" s="92"/>
      <c r="I212" s="92"/>
      <c r="J212" s="92"/>
      <c r="K212" s="92"/>
      <c r="L212" s="92"/>
      <c r="M212" s="92"/>
      <c r="N212" s="93"/>
      <c r="O212" s="93"/>
      <c r="P212" s="93"/>
      <c r="Q212" s="93"/>
      <c r="R212" s="94"/>
      <c r="S212" s="28"/>
      <c r="T212" s="28"/>
      <c r="U212" s="110"/>
      <c r="V212" s="126"/>
    </row>
    <row r="213" spans="6:22" s="6" customFormat="1" ht="20.100000000000001" customHeight="1" x14ac:dyDescent="0.25">
      <c r="F213" s="28"/>
      <c r="G213" s="28"/>
      <c r="H213" s="92"/>
      <c r="I213" s="92"/>
      <c r="J213" s="92"/>
      <c r="K213" s="92"/>
      <c r="L213" s="92"/>
      <c r="M213" s="92"/>
      <c r="N213" s="93"/>
      <c r="O213" s="93"/>
      <c r="P213" s="93"/>
      <c r="Q213" s="93"/>
      <c r="R213" s="94"/>
      <c r="S213" s="28"/>
      <c r="T213" s="28"/>
      <c r="U213" s="110"/>
      <c r="V213" s="126"/>
    </row>
    <row r="214" spans="6:22" s="6" customFormat="1" ht="20.100000000000001" customHeight="1" x14ac:dyDescent="0.25">
      <c r="F214" s="28"/>
      <c r="G214" s="28"/>
      <c r="H214" s="92"/>
      <c r="I214" s="92"/>
      <c r="J214" s="92"/>
      <c r="K214" s="92"/>
      <c r="L214" s="92"/>
      <c r="M214" s="92"/>
      <c r="N214" s="93"/>
      <c r="O214" s="93"/>
      <c r="P214" s="93"/>
      <c r="Q214" s="93"/>
      <c r="R214" s="94"/>
      <c r="S214" s="28"/>
      <c r="T214" s="28"/>
      <c r="U214" s="110"/>
      <c r="V214" s="126"/>
    </row>
    <row r="215" spans="6:22" s="6" customFormat="1" ht="20.100000000000001" customHeight="1" x14ac:dyDescent="0.25">
      <c r="F215" s="28"/>
      <c r="G215" s="28"/>
      <c r="H215" s="92"/>
      <c r="I215" s="92"/>
      <c r="J215" s="92"/>
      <c r="K215" s="92"/>
      <c r="L215" s="92"/>
      <c r="M215" s="92"/>
      <c r="N215" s="93"/>
      <c r="O215" s="93"/>
      <c r="P215" s="93"/>
      <c r="Q215" s="93"/>
      <c r="R215" s="94"/>
      <c r="S215" s="28"/>
      <c r="T215" s="28"/>
      <c r="U215" s="110"/>
      <c r="V215" s="126"/>
    </row>
    <row r="216" spans="6:22" s="6" customFormat="1" ht="20.100000000000001" customHeight="1" x14ac:dyDescent="0.25">
      <c r="F216" s="28"/>
      <c r="G216" s="28"/>
      <c r="H216" s="92"/>
      <c r="I216" s="92"/>
      <c r="J216" s="92"/>
      <c r="K216" s="92"/>
      <c r="L216" s="92"/>
      <c r="M216" s="92"/>
      <c r="N216" s="93"/>
      <c r="O216" s="93"/>
      <c r="P216" s="93"/>
      <c r="Q216" s="93"/>
      <c r="R216" s="94"/>
      <c r="S216" s="28"/>
      <c r="T216" s="28"/>
      <c r="U216" s="110"/>
      <c r="V216" s="126"/>
    </row>
    <row r="217" spans="6:22" s="6" customFormat="1" ht="20.100000000000001" customHeight="1" x14ac:dyDescent="0.25">
      <c r="F217" s="28"/>
      <c r="G217" s="28"/>
      <c r="H217" s="92"/>
      <c r="I217" s="92"/>
      <c r="J217" s="92"/>
      <c r="K217" s="92"/>
      <c r="L217" s="92"/>
      <c r="M217" s="92"/>
      <c r="N217" s="93"/>
      <c r="O217" s="93"/>
      <c r="P217" s="93"/>
      <c r="Q217" s="93"/>
      <c r="R217" s="94"/>
      <c r="S217" s="28"/>
      <c r="T217" s="28"/>
      <c r="U217" s="110"/>
      <c r="V217" s="126"/>
    </row>
    <row r="218" spans="6:22" s="6" customFormat="1" ht="20.100000000000001" customHeight="1" x14ac:dyDescent="0.25">
      <c r="F218" s="28"/>
      <c r="G218" s="28"/>
      <c r="H218" s="92"/>
      <c r="I218" s="92"/>
      <c r="J218" s="92"/>
      <c r="K218" s="92"/>
      <c r="L218" s="92"/>
      <c r="M218" s="92"/>
      <c r="N218" s="93"/>
      <c r="O218" s="93"/>
      <c r="P218" s="93"/>
      <c r="Q218" s="93"/>
      <c r="R218" s="94"/>
      <c r="S218" s="28"/>
      <c r="T218" s="28"/>
      <c r="U218" s="110"/>
      <c r="V218" s="126"/>
    </row>
    <row r="219" spans="6:22" s="6" customFormat="1" ht="20.100000000000001" customHeight="1" x14ac:dyDescent="0.25">
      <c r="F219" s="28"/>
      <c r="G219" s="28"/>
      <c r="H219" s="92"/>
      <c r="I219" s="92"/>
      <c r="J219" s="92"/>
      <c r="K219" s="92"/>
      <c r="L219" s="92"/>
      <c r="M219" s="92"/>
      <c r="N219" s="93"/>
      <c r="O219" s="93"/>
      <c r="P219" s="93"/>
      <c r="Q219" s="93"/>
      <c r="R219" s="94"/>
      <c r="S219" s="28"/>
      <c r="T219" s="28"/>
      <c r="U219" s="110"/>
      <c r="V219" s="126"/>
    </row>
    <row r="220" spans="6:22" s="6" customFormat="1" ht="20.100000000000001" customHeight="1" x14ac:dyDescent="0.25">
      <c r="F220" s="28"/>
      <c r="G220" s="28"/>
      <c r="H220" s="92"/>
      <c r="I220" s="92"/>
      <c r="J220" s="92"/>
      <c r="K220" s="92"/>
      <c r="L220" s="92"/>
      <c r="M220" s="92"/>
      <c r="N220" s="93"/>
      <c r="O220" s="93"/>
      <c r="P220" s="93"/>
      <c r="Q220" s="93"/>
      <c r="R220" s="94"/>
      <c r="S220" s="28"/>
      <c r="T220" s="28"/>
      <c r="U220" s="110"/>
      <c r="V220" s="126"/>
    </row>
    <row r="221" spans="6:22" s="6" customFormat="1" ht="20.100000000000001" customHeight="1" x14ac:dyDescent="0.25">
      <c r="F221" s="28"/>
      <c r="G221" s="28"/>
      <c r="H221" s="92"/>
      <c r="I221" s="92"/>
      <c r="J221" s="92"/>
      <c r="K221" s="92"/>
      <c r="L221" s="92"/>
      <c r="M221" s="92"/>
      <c r="N221" s="93"/>
      <c r="O221" s="93"/>
      <c r="P221" s="93"/>
      <c r="Q221" s="93"/>
      <c r="R221" s="94"/>
      <c r="S221" s="28"/>
      <c r="T221" s="28"/>
      <c r="U221" s="110"/>
      <c r="V221" s="126"/>
    </row>
    <row r="222" spans="6:22" s="6" customFormat="1" ht="20.100000000000001" customHeight="1" x14ac:dyDescent="0.25">
      <c r="F222" s="28"/>
      <c r="G222" s="28"/>
      <c r="H222" s="92"/>
      <c r="I222" s="92"/>
      <c r="J222" s="92"/>
      <c r="K222" s="92"/>
      <c r="L222" s="92"/>
      <c r="M222" s="92"/>
      <c r="N222" s="93"/>
      <c r="O222" s="93"/>
      <c r="P222" s="93"/>
      <c r="Q222" s="93"/>
      <c r="R222" s="94"/>
      <c r="S222" s="28"/>
      <c r="T222" s="28"/>
      <c r="U222" s="110"/>
      <c r="V222" s="126"/>
    </row>
    <row r="223" spans="6:22" s="6" customFormat="1" ht="20.100000000000001" customHeight="1" x14ac:dyDescent="0.25">
      <c r="F223" s="28"/>
      <c r="G223" s="28"/>
      <c r="H223" s="92"/>
      <c r="I223" s="92"/>
      <c r="J223" s="92"/>
      <c r="K223" s="92"/>
      <c r="L223" s="92"/>
      <c r="M223" s="92"/>
      <c r="N223" s="93"/>
      <c r="O223" s="93"/>
      <c r="P223" s="93"/>
      <c r="Q223" s="93"/>
      <c r="R223" s="94"/>
      <c r="S223" s="28"/>
      <c r="T223" s="28"/>
      <c r="U223" s="110"/>
      <c r="V223" s="126"/>
    </row>
    <row r="224" spans="6:22" s="6" customFormat="1" ht="20.100000000000001" customHeight="1" x14ac:dyDescent="0.25">
      <c r="F224" s="28"/>
      <c r="G224" s="28"/>
      <c r="H224" s="92"/>
      <c r="I224" s="92"/>
      <c r="J224" s="92"/>
      <c r="K224" s="92"/>
      <c r="L224" s="92"/>
      <c r="M224" s="92"/>
      <c r="N224" s="93"/>
      <c r="O224" s="93"/>
      <c r="P224" s="93"/>
      <c r="Q224" s="93"/>
      <c r="R224" s="94"/>
      <c r="S224" s="28"/>
      <c r="T224" s="28"/>
      <c r="U224" s="110"/>
      <c r="V224" s="126"/>
    </row>
    <row r="225" spans="6:22" s="6" customFormat="1" ht="20.100000000000001" customHeight="1" x14ac:dyDescent="0.25">
      <c r="F225" s="28"/>
      <c r="G225" s="28"/>
      <c r="H225" s="92"/>
      <c r="I225" s="92"/>
      <c r="J225" s="92"/>
      <c r="K225" s="92"/>
      <c r="L225" s="92"/>
      <c r="M225" s="92"/>
      <c r="N225" s="93"/>
      <c r="O225" s="93"/>
      <c r="P225" s="93"/>
      <c r="Q225" s="93"/>
      <c r="R225" s="94"/>
      <c r="S225" s="28"/>
      <c r="T225" s="28"/>
      <c r="U225" s="110"/>
      <c r="V225" s="126"/>
    </row>
    <row r="226" spans="6:22" s="6" customFormat="1" ht="20.100000000000001" customHeight="1" x14ac:dyDescent="0.25">
      <c r="F226" s="28"/>
      <c r="G226" s="28"/>
      <c r="H226" s="92"/>
      <c r="I226" s="92"/>
      <c r="J226" s="92"/>
      <c r="K226" s="92"/>
      <c r="L226" s="92"/>
      <c r="M226" s="92"/>
      <c r="N226" s="93"/>
      <c r="O226" s="93"/>
      <c r="P226" s="93"/>
      <c r="Q226" s="93"/>
      <c r="R226" s="94"/>
      <c r="S226" s="28"/>
      <c r="T226" s="28"/>
      <c r="U226" s="110"/>
      <c r="V226" s="126"/>
    </row>
    <row r="227" spans="6:22" s="6" customFormat="1" ht="20.100000000000001" customHeight="1" x14ac:dyDescent="0.25">
      <c r="F227" s="28"/>
      <c r="G227" s="28"/>
      <c r="H227" s="92"/>
      <c r="I227" s="92"/>
      <c r="J227" s="92"/>
      <c r="K227" s="92"/>
      <c r="L227" s="92"/>
      <c r="M227" s="92"/>
      <c r="N227" s="93"/>
      <c r="O227" s="93"/>
      <c r="P227" s="93"/>
      <c r="Q227" s="93"/>
      <c r="R227" s="94"/>
      <c r="S227" s="28"/>
      <c r="T227" s="28"/>
      <c r="U227" s="110"/>
      <c r="V227" s="126"/>
    </row>
    <row r="228" spans="6:22" s="6" customFormat="1" ht="20.100000000000001" customHeight="1" x14ac:dyDescent="0.25">
      <c r="F228" s="28"/>
      <c r="G228" s="28"/>
      <c r="H228" s="92"/>
      <c r="I228" s="92"/>
      <c r="J228" s="92"/>
      <c r="K228" s="92"/>
      <c r="L228" s="92"/>
      <c r="M228" s="92"/>
      <c r="N228" s="93"/>
      <c r="O228" s="93"/>
      <c r="P228" s="93"/>
      <c r="Q228" s="93"/>
      <c r="R228" s="94"/>
      <c r="S228" s="28"/>
      <c r="T228" s="28"/>
      <c r="U228" s="110"/>
      <c r="V228" s="126"/>
    </row>
    <row r="229" spans="6:22" s="6" customFormat="1" ht="20.100000000000001" customHeight="1" x14ac:dyDescent="0.25">
      <c r="F229" s="28"/>
      <c r="G229" s="28"/>
      <c r="H229" s="92"/>
      <c r="I229" s="92"/>
      <c r="J229" s="92"/>
      <c r="K229" s="92"/>
      <c r="L229" s="92"/>
      <c r="M229" s="92"/>
      <c r="N229" s="93"/>
      <c r="O229" s="93"/>
      <c r="P229" s="93"/>
      <c r="Q229" s="93"/>
      <c r="R229" s="94"/>
      <c r="S229" s="28"/>
      <c r="T229" s="28"/>
      <c r="U229" s="110"/>
      <c r="V229" s="126"/>
    </row>
    <row r="230" spans="6:22" s="6" customFormat="1" ht="20.100000000000001" customHeight="1" x14ac:dyDescent="0.25">
      <c r="F230" s="28"/>
      <c r="G230" s="28"/>
      <c r="H230" s="92"/>
      <c r="I230" s="92"/>
      <c r="J230" s="92"/>
      <c r="K230" s="92"/>
      <c r="L230" s="92"/>
      <c r="M230" s="92"/>
      <c r="N230" s="93"/>
      <c r="O230" s="93"/>
      <c r="P230" s="93"/>
      <c r="Q230" s="93"/>
      <c r="R230" s="94"/>
      <c r="S230" s="28"/>
      <c r="T230" s="28"/>
      <c r="U230" s="110"/>
      <c r="V230" s="126"/>
    </row>
    <row r="231" spans="6:22" s="6" customFormat="1" ht="20.100000000000001" customHeight="1" x14ac:dyDescent="0.25">
      <c r="F231" s="28"/>
      <c r="G231" s="28"/>
      <c r="H231" s="92"/>
      <c r="I231" s="92"/>
      <c r="J231" s="92"/>
      <c r="K231" s="92"/>
      <c r="L231" s="92"/>
      <c r="M231" s="92"/>
      <c r="N231" s="93"/>
      <c r="O231" s="93"/>
      <c r="P231" s="93"/>
      <c r="Q231" s="93"/>
      <c r="R231" s="94"/>
      <c r="S231" s="28"/>
      <c r="T231" s="28"/>
      <c r="U231" s="110"/>
      <c r="V231" s="126"/>
    </row>
    <row r="232" spans="6:22" s="6" customFormat="1" ht="20.100000000000001" customHeight="1" x14ac:dyDescent="0.25">
      <c r="F232" s="28"/>
      <c r="G232" s="28"/>
      <c r="H232" s="92"/>
      <c r="I232" s="92"/>
      <c r="J232" s="92"/>
      <c r="K232" s="92"/>
      <c r="L232" s="92"/>
      <c r="M232" s="92"/>
      <c r="N232" s="93"/>
      <c r="O232" s="93"/>
      <c r="P232" s="93"/>
      <c r="Q232" s="93"/>
      <c r="R232" s="94"/>
      <c r="S232" s="28"/>
      <c r="T232" s="28"/>
      <c r="U232" s="110"/>
      <c r="V232" s="126"/>
    </row>
    <row r="233" spans="6:22" s="6" customFormat="1" ht="20.100000000000001" customHeight="1" x14ac:dyDescent="0.25">
      <c r="F233" s="28"/>
      <c r="G233" s="28"/>
      <c r="H233" s="92"/>
      <c r="I233" s="92"/>
      <c r="J233" s="92"/>
      <c r="K233" s="92"/>
      <c r="L233" s="92"/>
      <c r="M233" s="92"/>
      <c r="N233" s="93"/>
      <c r="O233" s="93"/>
      <c r="P233" s="93"/>
      <c r="Q233" s="93"/>
      <c r="R233" s="94"/>
      <c r="S233" s="28"/>
      <c r="T233" s="28"/>
      <c r="U233" s="110"/>
      <c r="V233" s="126"/>
    </row>
    <row r="234" spans="6:22" s="6" customFormat="1" ht="20.100000000000001" customHeight="1" x14ac:dyDescent="0.25">
      <c r="F234" s="28"/>
      <c r="G234" s="28"/>
      <c r="H234" s="92"/>
      <c r="I234" s="92"/>
      <c r="J234" s="92"/>
      <c r="K234" s="92"/>
      <c r="L234" s="92"/>
      <c r="M234" s="92"/>
      <c r="N234" s="93"/>
      <c r="O234" s="93"/>
      <c r="P234" s="93"/>
      <c r="Q234" s="93"/>
      <c r="R234" s="94"/>
      <c r="S234" s="28"/>
      <c r="T234" s="28"/>
      <c r="U234" s="110"/>
      <c r="V234" s="126"/>
    </row>
    <row r="235" spans="6:22" s="6" customFormat="1" ht="20.100000000000001" customHeight="1" x14ac:dyDescent="0.25">
      <c r="F235" s="28"/>
      <c r="G235" s="28"/>
      <c r="H235" s="92"/>
      <c r="I235" s="92"/>
      <c r="J235" s="92"/>
      <c r="K235" s="92"/>
      <c r="L235" s="92"/>
      <c r="M235" s="92"/>
      <c r="N235" s="93"/>
      <c r="O235" s="93"/>
      <c r="P235" s="93"/>
      <c r="Q235" s="93"/>
      <c r="R235" s="94"/>
      <c r="S235" s="28"/>
      <c r="T235" s="28"/>
      <c r="U235" s="110"/>
      <c r="V235" s="126"/>
    </row>
    <row r="236" spans="6:22" s="6" customFormat="1" ht="20.100000000000001" customHeight="1" x14ac:dyDescent="0.25">
      <c r="F236" s="28"/>
      <c r="G236" s="28"/>
      <c r="H236" s="92"/>
      <c r="I236" s="92"/>
      <c r="J236" s="92"/>
      <c r="K236" s="92"/>
      <c r="L236" s="92"/>
      <c r="M236" s="92"/>
      <c r="N236" s="93"/>
      <c r="O236" s="93"/>
      <c r="P236" s="93"/>
      <c r="Q236" s="93"/>
      <c r="R236" s="94"/>
      <c r="S236" s="28"/>
      <c r="T236" s="28"/>
      <c r="U236" s="110"/>
      <c r="V236" s="126"/>
    </row>
    <row r="237" spans="6:22" s="6" customFormat="1" ht="20.100000000000001" customHeight="1" x14ac:dyDescent="0.25">
      <c r="F237" s="28"/>
      <c r="G237" s="28"/>
      <c r="H237" s="92"/>
      <c r="I237" s="92"/>
      <c r="J237" s="92"/>
      <c r="K237" s="92"/>
      <c r="L237" s="92"/>
      <c r="M237" s="92"/>
      <c r="N237" s="93"/>
      <c r="O237" s="93"/>
      <c r="P237" s="93"/>
      <c r="Q237" s="93"/>
      <c r="R237" s="94"/>
      <c r="S237" s="28"/>
      <c r="T237" s="28"/>
      <c r="U237" s="110"/>
      <c r="V237" s="126"/>
    </row>
    <row r="238" spans="6:22" s="6" customFormat="1" ht="20.100000000000001" customHeight="1" x14ac:dyDescent="0.25">
      <c r="F238" s="28"/>
      <c r="G238" s="28"/>
      <c r="H238" s="92"/>
      <c r="I238" s="92"/>
      <c r="J238" s="92"/>
      <c r="K238" s="92"/>
      <c r="L238" s="92"/>
      <c r="M238" s="92"/>
      <c r="N238" s="93"/>
      <c r="O238" s="93"/>
      <c r="P238" s="93"/>
      <c r="Q238" s="93"/>
      <c r="R238" s="94"/>
      <c r="S238" s="28"/>
      <c r="T238" s="28"/>
      <c r="U238" s="110"/>
      <c r="V238" s="126"/>
    </row>
    <row r="239" spans="6:22" s="6" customFormat="1" ht="20.100000000000001" customHeight="1" x14ac:dyDescent="0.25">
      <c r="F239" s="28"/>
      <c r="G239" s="28"/>
      <c r="H239" s="92"/>
      <c r="I239" s="92"/>
      <c r="J239" s="92"/>
      <c r="K239" s="92"/>
      <c r="L239" s="92"/>
      <c r="M239" s="92"/>
      <c r="N239" s="93"/>
      <c r="O239" s="93"/>
      <c r="P239" s="93"/>
      <c r="Q239" s="93"/>
      <c r="R239" s="94"/>
      <c r="S239" s="28"/>
      <c r="T239" s="28"/>
      <c r="U239" s="110"/>
      <c r="V239" s="126"/>
    </row>
    <row r="240" spans="6:22" s="6" customFormat="1" ht="20.100000000000001" customHeight="1" x14ac:dyDescent="0.25">
      <c r="F240" s="28"/>
      <c r="G240" s="28"/>
      <c r="H240" s="92"/>
      <c r="I240" s="92"/>
      <c r="J240" s="92"/>
      <c r="K240" s="92"/>
      <c r="L240" s="92"/>
      <c r="M240" s="92"/>
      <c r="N240" s="93"/>
      <c r="O240" s="93"/>
      <c r="P240" s="93"/>
      <c r="Q240" s="93"/>
      <c r="R240" s="94"/>
      <c r="S240" s="28"/>
      <c r="T240" s="28"/>
      <c r="U240" s="110"/>
      <c r="V240" s="126"/>
    </row>
    <row r="241" spans="6:22" s="6" customFormat="1" ht="20.100000000000001" customHeight="1" x14ac:dyDescent="0.25">
      <c r="F241" s="28"/>
      <c r="G241" s="28"/>
      <c r="H241" s="92"/>
      <c r="I241" s="92"/>
      <c r="J241" s="92"/>
      <c r="K241" s="92"/>
      <c r="L241" s="92"/>
      <c r="M241" s="92"/>
      <c r="N241" s="93"/>
      <c r="O241" s="93"/>
      <c r="P241" s="93"/>
      <c r="Q241" s="93"/>
      <c r="R241" s="94"/>
      <c r="S241" s="28"/>
      <c r="T241" s="28"/>
      <c r="U241" s="110"/>
      <c r="V241" s="126"/>
    </row>
    <row r="242" spans="6:22" s="6" customFormat="1" ht="20.100000000000001" customHeight="1" x14ac:dyDescent="0.25">
      <c r="F242" s="28"/>
      <c r="G242" s="28"/>
      <c r="H242" s="92"/>
      <c r="I242" s="92"/>
      <c r="J242" s="92"/>
      <c r="K242" s="92"/>
      <c r="L242" s="92"/>
      <c r="M242" s="92"/>
      <c r="N242" s="93"/>
      <c r="O242" s="93"/>
      <c r="P242" s="93"/>
      <c r="Q242" s="93"/>
      <c r="R242" s="94"/>
      <c r="S242" s="28"/>
      <c r="T242" s="28"/>
      <c r="U242" s="110"/>
      <c r="V242" s="126"/>
    </row>
    <row r="243" spans="6:22" s="6" customFormat="1" ht="20.100000000000001" customHeight="1" x14ac:dyDescent="0.25">
      <c r="F243" s="28"/>
      <c r="G243" s="28"/>
      <c r="H243" s="92"/>
      <c r="I243" s="92"/>
      <c r="J243" s="92"/>
      <c r="K243" s="92"/>
      <c r="L243" s="92"/>
      <c r="M243" s="92"/>
      <c r="N243" s="93"/>
      <c r="O243" s="93"/>
      <c r="P243" s="93"/>
      <c r="Q243" s="93"/>
      <c r="R243" s="94"/>
      <c r="S243" s="28"/>
      <c r="T243" s="28"/>
      <c r="U243" s="110"/>
      <c r="V243" s="126"/>
    </row>
    <row r="244" spans="6:22" s="6" customFormat="1" ht="20.100000000000001" customHeight="1" x14ac:dyDescent="0.25">
      <c r="F244" s="28"/>
      <c r="G244" s="28"/>
      <c r="H244" s="92"/>
      <c r="I244" s="92"/>
      <c r="J244" s="92"/>
      <c r="K244" s="92"/>
      <c r="L244" s="92"/>
      <c r="M244" s="92"/>
      <c r="N244" s="93"/>
      <c r="O244" s="93"/>
      <c r="P244" s="93"/>
      <c r="Q244" s="93"/>
      <c r="R244" s="94"/>
      <c r="S244" s="28"/>
      <c r="T244" s="28"/>
      <c r="U244" s="110"/>
      <c r="V244" s="126"/>
    </row>
    <row r="245" spans="6:22" s="6" customFormat="1" ht="20.100000000000001" customHeight="1" x14ac:dyDescent="0.25">
      <c r="F245" s="28"/>
      <c r="G245" s="28"/>
      <c r="H245" s="92"/>
      <c r="I245" s="92"/>
      <c r="J245" s="92"/>
      <c r="K245" s="92"/>
      <c r="L245" s="92"/>
      <c r="M245" s="92"/>
      <c r="N245" s="93"/>
      <c r="O245" s="93"/>
      <c r="P245" s="93"/>
      <c r="Q245" s="93"/>
      <c r="R245" s="94"/>
      <c r="S245" s="28"/>
      <c r="T245" s="28"/>
      <c r="U245" s="110"/>
      <c r="V245" s="126"/>
    </row>
    <row r="246" spans="6:22" s="6" customFormat="1" ht="20.100000000000001" customHeight="1" x14ac:dyDescent="0.25">
      <c r="F246" s="28"/>
      <c r="G246" s="28"/>
      <c r="H246" s="92"/>
      <c r="I246" s="92"/>
      <c r="J246" s="92"/>
      <c r="K246" s="92"/>
      <c r="L246" s="92"/>
      <c r="M246" s="92"/>
      <c r="N246" s="93"/>
      <c r="O246" s="93"/>
      <c r="P246" s="93"/>
      <c r="Q246" s="93"/>
      <c r="R246" s="94"/>
      <c r="S246" s="28"/>
      <c r="T246" s="28"/>
      <c r="U246" s="110"/>
      <c r="V246" s="126"/>
    </row>
    <row r="247" spans="6:22" s="6" customFormat="1" ht="20.100000000000001" customHeight="1" x14ac:dyDescent="0.25">
      <c r="F247" s="28"/>
      <c r="G247" s="28"/>
      <c r="H247" s="92"/>
      <c r="I247" s="92"/>
      <c r="J247" s="92"/>
      <c r="K247" s="92"/>
      <c r="L247" s="92"/>
      <c r="M247" s="92"/>
      <c r="N247" s="93"/>
      <c r="O247" s="93"/>
      <c r="P247" s="93"/>
      <c r="Q247" s="93"/>
      <c r="R247" s="94"/>
      <c r="S247" s="28"/>
      <c r="T247" s="28"/>
      <c r="U247" s="110"/>
      <c r="V247" s="126"/>
    </row>
    <row r="248" spans="6:22" s="6" customFormat="1" ht="20.100000000000001" customHeight="1" x14ac:dyDescent="0.25">
      <c r="F248" s="28"/>
      <c r="G248" s="28"/>
      <c r="H248" s="92"/>
      <c r="I248" s="92"/>
      <c r="J248" s="92"/>
      <c r="K248" s="92"/>
      <c r="L248" s="92"/>
      <c r="M248" s="92"/>
      <c r="N248" s="93"/>
      <c r="O248" s="93"/>
      <c r="P248" s="93"/>
      <c r="Q248" s="93"/>
      <c r="R248" s="94"/>
      <c r="S248" s="28"/>
      <c r="T248" s="28"/>
      <c r="U248" s="110"/>
      <c r="V248" s="126"/>
    </row>
    <row r="249" spans="6:22" s="6" customFormat="1" ht="20.100000000000001" customHeight="1" x14ac:dyDescent="0.25">
      <c r="F249" s="28"/>
      <c r="G249" s="28"/>
      <c r="H249" s="92"/>
      <c r="I249" s="92"/>
      <c r="J249" s="92"/>
      <c r="K249" s="92"/>
      <c r="L249" s="92"/>
      <c r="M249" s="92"/>
      <c r="N249" s="93"/>
      <c r="O249" s="93"/>
      <c r="P249" s="93"/>
      <c r="Q249" s="93"/>
      <c r="R249" s="94"/>
      <c r="S249" s="28"/>
      <c r="T249" s="28"/>
      <c r="U249" s="110"/>
      <c r="V249" s="126"/>
    </row>
    <row r="250" spans="6:22" s="6" customFormat="1" ht="20.100000000000001" customHeight="1" x14ac:dyDescent="0.25">
      <c r="F250" s="28"/>
      <c r="G250" s="28"/>
      <c r="H250" s="92"/>
      <c r="I250" s="92"/>
      <c r="J250" s="92"/>
      <c r="K250" s="92"/>
      <c r="L250" s="92"/>
      <c r="M250" s="92"/>
      <c r="N250" s="93"/>
      <c r="O250" s="93"/>
      <c r="P250" s="93"/>
      <c r="Q250" s="93"/>
      <c r="R250" s="94"/>
      <c r="S250" s="28"/>
      <c r="T250" s="28"/>
      <c r="U250" s="110"/>
      <c r="V250" s="126"/>
    </row>
    <row r="251" spans="6:22" s="6" customFormat="1" ht="20.100000000000001" customHeight="1" x14ac:dyDescent="0.25">
      <c r="F251" s="28"/>
      <c r="G251" s="28"/>
      <c r="H251" s="92"/>
      <c r="I251" s="92"/>
      <c r="J251" s="92"/>
      <c r="K251" s="92"/>
      <c r="L251" s="92"/>
      <c r="M251" s="92"/>
      <c r="N251" s="93"/>
      <c r="O251" s="93"/>
      <c r="P251" s="93"/>
      <c r="Q251" s="93"/>
      <c r="R251" s="94"/>
      <c r="S251" s="28"/>
      <c r="T251" s="28"/>
      <c r="U251" s="110"/>
      <c r="V251" s="126"/>
    </row>
    <row r="252" spans="6:22" s="6" customFormat="1" ht="20.100000000000001" customHeight="1" x14ac:dyDescent="0.25">
      <c r="F252" s="28"/>
      <c r="G252" s="28"/>
      <c r="H252" s="92"/>
      <c r="I252" s="92"/>
      <c r="J252" s="92"/>
      <c r="K252" s="92"/>
      <c r="L252" s="92"/>
      <c r="M252" s="92"/>
      <c r="N252" s="93"/>
      <c r="O252" s="93"/>
      <c r="P252" s="93"/>
      <c r="Q252" s="93"/>
      <c r="R252" s="94"/>
      <c r="S252" s="28"/>
      <c r="T252" s="28"/>
      <c r="U252" s="110"/>
      <c r="V252" s="126"/>
    </row>
    <row r="253" spans="6:22" s="6" customFormat="1" ht="20.100000000000001" customHeight="1" x14ac:dyDescent="0.25">
      <c r="F253" s="28"/>
      <c r="G253" s="28"/>
      <c r="H253" s="92"/>
      <c r="I253" s="92"/>
      <c r="J253" s="92"/>
      <c r="K253" s="92"/>
      <c r="L253" s="92"/>
      <c r="M253" s="92"/>
      <c r="N253" s="93"/>
      <c r="O253" s="93"/>
      <c r="P253" s="93"/>
      <c r="Q253" s="93"/>
      <c r="R253" s="94"/>
      <c r="S253" s="28"/>
      <c r="T253" s="28"/>
      <c r="U253" s="110"/>
      <c r="V253" s="126"/>
    </row>
    <row r="254" spans="6:22" s="6" customFormat="1" ht="20.100000000000001" customHeight="1" x14ac:dyDescent="0.25">
      <c r="F254" s="28"/>
      <c r="G254" s="28"/>
      <c r="H254" s="92"/>
      <c r="I254" s="92"/>
      <c r="J254" s="92"/>
      <c r="K254" s="92"/>
      <c r="L254" s="92"/>
      <c r="M254" s="92"/>
      <c r="N254" s="93"/>
      <c r="O254" s="93"/>
      <c r="P254" s="93"/>
      <c r="Q254" s="93"/>
      <c r="R254" s="94"/>
      <c r="S254" s="28"/>
      <c r="T254" s="28"/>
      <c r="U254" s="110"/>
      <c r="V254" s="126"/>
    </row>
    <row r="255" spans="6:22" s="6" customFormat="1" ht="20.100000000000001" customHeight="1" x14ac:dyDescent="0.25">
      <c r="F255" s="28"/>
      <c r="G255" s="28"/>
      <c r="H255" s="92"/>
      <c r="I255" s="92"/>
      <c r="J255" s="92"/>
      <c r="K255" s="92"/>
      <c r="L255" s="92"/>
      <c r="M255" s="92"/>
      <c r="N255" s="93"/>
      <c r="O255" s="93"/>
      <c r="P255" s="93"/>
      <c r="Q255" s="93"/>
      <c r="R255" s="94"/>
      <c r="S255" s="28"/>
      <c r="T255" s="28"/>
      <c r="U255" s="110"/>
      <c r="V255" s="126"/>
    </row>
    <row r="256" spans="6:22" s="6" customFormat="1" ht="20.100000000000001" customHeight="1" x14ac:dyDescent="0.25">
      <c r="F256" s="28"/>
      <c r="G256" s="28"/>
      <c r="H256" s="92"/>
      <c r="I256" s="92"/>
      <c r="J256" s="92"/>
      <c r="K256" s="92"/>
      <c r="L256" s="92"/>
      <c r="M256" s="92"/>
      <c r="N256" s="93"/>
      <c r="O256" s="93"/>
      <c r="P256" s="93"/>
      <c r="Q256" s="93"/>
      <c r="R256" s="94"/>
      <c r="S256" s="28"/>
      <c r="T256" s="28"/>
      <c r="U256" s="110"/>
      <c r="V256" s="126"/>
    </row>
    <row r="257" spans="6:22" s="6" customFormat="1" ht="20.100000000000001" customHeight="1" x14ac:dyDescent="0.25">
      <c r="F257" s="28"/>
      <c r="G257" s="28"/>
      <c r="H257" s="92"/>
      <c r="I257" s="92"/>
      <c r="J257" s="92"/>
      <c r="K257" s="92"/>
      <c r="L257" s="92"/>
      <c r="M257" s="92"/>
      <c r="N257" s="93"/>
      <c r="O257" s="93"/>
      <c r="P257" s="93"/>
      <c r="Q257" s="93"/>
      <c r="R257" s="94"/>
      <c r="S257" s="28"/>
      <c r="T257" s="28"/>
      <c r="U257" s="110"/>
      <c r="V257" s="126"/>
    </row>
    <row r="258" spans="6:22" s="6" customFormat="1" ht="20.100000000000001" customHeight="1" x14ac:dyDescent="0.25">
      <c r="F258" s="28"/>
      <c r="G258" s="28"/>
      <c r="H258" s="92"/>
      <c r="I258" s="92"/>
      <c r="J258" s="92"/>
      <c r="K258" s="92"/>
      <c r="L258" s="92"/>
      <c r="M258" s="92"/>
      <c r="N258" s="93"/>
      <c r="O258" s="93"/>
      <c r="P258" s="93"/>
      <c r="Q258" s="93"/>
      <c r="R258" s="94"/>
      <c r="S258" s="28"/>
      <c r="T258" s="28"/>
      <c r="U258" s="110"/>
      <c r="V258" s="126"/>
    </row>
    <row r="259" spans="6:22" s="6" customFormat="1" ht="20.100000000000001" customHeight="1" x14ac:dyDescent="0.25">
      <c r="F259" s="28"/>
      <c r="G259" s="28"/>
      <c r="H259" s="92"/>
      <c r="I259" s="92"/>
      <c r="J259" s="92"/>
      <c r="K259" s="92"/>
      <c r="L259" s="92"/>
      <c r="M259" s="92"/>
      <c r="N259" s="93"/>
      <c r="O259" s="93"/>
      <c r="P259" s="93"/>
      <c r="Q259" s="93"/>
      <c r="R259" s="94"/>
      <c r="S259" s="28"/>
      <c r="T259" s="28"/>
      <c r="U259" s="110"/>
      <c r="V259" s="126"/>
    </row>
    <row r="260" spans="6:22" s="6" customFormat="1" ht="20.100000000000001" customHeight="1" x14ac:dyDescent="0.25">
      <c r="F260" s="28"/>
      <c r="G260" s="28"/>
      <c r="H260" s="92"/>
      <c r="I260" s="92"/>
      <c r="J260" s="92"/>
      <c r="K260" s="92"/>
      <c r="L260" s="92"/>
      <c r="M260" s="92"/>
      <c r="N260" s="93"/>
      <c r="O260" s="93"/>
      <c r="P260" s="93"/>
      <c r="Q260" s="93"/>
      <c r="R260" s="94"/>
      <c r="S260" s="28"/>
      <c r="T260" s="28"/>
      <c r="U260" s="110"/>
      <c r="V260" s="126"/>
    </row>
    <row r="261" spans="6:22" s="6" customFormat="1" ht="20.100000000000001" customHeight="1" x14ac:dyDescent="0.25">
      <c r="F261" s="28"/>
      <c r="G261" s="28"/>
      <c r="H261" s="92"/>
      <c r="I261" s="92"/>
      <c r="J261" s="92"/>
      <c r="K261" s="92"/>
      <c r="L261" s="92"/>
      <c r="M261" s="92"/>
      <c r="N261" s="93"/>
      <c r="O261" s="93"/>
      <c r="P261" s="93"/>
      <c r="Q261" s="93"/>
      <c r="R261" s="94"/>
      <c r="S261" s="28"/>
      <c r="T261" s="28"/>
      <c r="U261" s="110"/>
      <c r="V261" s="126"/>
    </row>
    <row r="262" spans="6:22" s="6" customFormat="1" ht="20.100000000000001" customHeight="1" x14ac:dyDescent="0.25">
      <c r="F262" s="28"/>
      <c r="G262" s="28"/>
      <c r="H262" s="92"/>
      <c r="I262" s="92"/>
      <c r="J262" s="92"/>
      <c r="K262" s="92"/>
      <c r="L262" s="92"/>
      <c r="M262" s="92"/>
      <c r="N262" s="93"/>
      <c r="O262" s="93"/>
      <c r="P262" s="93"/>
      <c r="Q262" s="93"/>
      <c r="R262" s="94"/>
      <c r="S262" s="28"/>
      <c r="T262" s="28"/>
      <c r="U262" s="110"/>
      <c r="V262" s="126"/>
    </row>
    <row r="263" spans="6:22" s="6" customFormat="1" ht="20.100000000000001" customHeight="1" x14ac:dyDescent="0.25">
      <c r="F263" s="28"/>
      <c r="G263" s="28"/>
      <c r="H263" s="92"/>
      <c r="I263" s="92"/>
      <c r="J263" s="92"/>
      <c r="K263" s="92"/>
      <c r="L263" s="92"/>
      <c r="M263" s="92"/>
      <c r="N263" s="93"/>
      <c r="O263" s="93"/>
      <c r="P263" s="93"/>
      <c r="Q263" s="93"/>
      <c r="R263" s="94"/>
      <c r="S263" s="28"/>
      <c r="T263" s="28"/>
      <c r="U263" s="110"/>
      <c r="V263" s="126"/>
    </row>
    <row r="264" spans="6:22" s="6" customFormat="1" ht="20.100000000000001" customHeight="1" x14ac:dyDescent="0.25">
      <c r="F264" s="28"/>
      <c r="G264" s="28"/>
      <c r="H264" s="92"/>
      <c r="I264" s="92"/>
      <c r="J264" s="92"/>
      <c r="K264" s="92"/>
      <c r="L264" s="92"/>
      <c r="M264" s="92"/>
      <c r="N264" s="93"/>
      <c r="O264" s="93"/>
      <c r="P264" s="93"/>
      <c r="Q264" s="93"/>
      <c r="R264" s="94"/>
      <c r="S264" s="28"/>
      <c r="T264" s="28"/>
      <c r="U264" s="110"/>
      <c r="V264" s="126"/>
    </row>
    <row r="265" spans="6:22" s="6" customFormat="1" ht="20.100000000000001" customHeight="1" x14ac:dyDescent="0.25">
      <c r="F265" s="28"/>
      <c r="G265" s="28"/>
      <c r="H265" s="92"/>
      <c r="I265" s="92"/>
      <c r="J265" s="92"/>
      <c r="K265" s="92"/>
      <c r="L265" s="92"/>
      <c r="M265" s="92"/>
      <c r="N265" s="93"/>
      <c r="O265" s="93"/>
      <c r="P265" s="93"/>
      <c r="Q265" s="93"/>
      <c r="R265" s="94"/>
      <c r="S265" s="28"/>
      <c r="T265" s="28"/>
      <c r="U265" s="110"/>
      <c r="V265" s="126"/>
    </row>
    <row r="266" spans="6:22" s="6" customFormat="1" ht="20.100000000000001" customHeight="1" x14ac:dyDescent="0.25">
      <c r="F266" s="28"/>
      <c r="G266" s="28"/>
      <c r="H266" s="92"/>
      <c r="I266" s="92"/>
      <c r="J266" s="92"/>
      <c r="K266" s="92"/>
      <c r="L266" s="92"/>
      <c r="M266" s="92"/>
      <c r="N266" s="93"/>
      <c r="O266" s="93"/>
      <c r="P266" s="93"/>
      <c r="Q266" s="93"/>
      <c r="R266" s="94"/>
      <c r="S266" s="28"/>
      <c r="T266" s="28"/>
      <c r="U266" s="110"/>
      <c r="V266" s="126"/>
    </row>
    <row r="267" spans="6:22" s="6" customFormat="1" ht="20.100000000000001" customHeight="1" x14ac:dyDescent="0.25">
      <c r="F267" s="28"/>
      <c r="G267" s="28"/>
      <c r="H267" s="92"/>
      <c r="I267" s="92"/>
      <c r="J267" s="92"/>
      <c r="K267" s="92"/>
      <c r="L267" s="92"/>
      <c r="M267" s="92"/>
      <c r="N267" s="93"/>
      <c r="O267" s="93"/>
      <c r="P267" s="93"/>
      <c r="Q267" s="93"/>
      <c r="R267" s="94"/>
      <c r="S267" s="28"/>
      <c r="T267" s="28"/>
      <c r="U267" s="110"/>
      <c r="V267" s="126"/>
    </row>
    <row r="268" spans="6:22" s="6" customFormat="1" ht="20.100000000000001" customHeight="1" x14ac:dyDescent="0.25">
      <c r="F268" s="28"/>
      <c r="G268" s="28"/>
      <c r="H268" s="92"/>
      <c r="I268" s="92"/>
      <c r="J268" s="92"/>
      <c r="K268" s="92"/>
      <c r="L268" s="92"/>
      <c r="M268" s="92"/>
      <c r="N268" s="93"/>
      <c r="O268" s="93"/>
      <c r="P268" s="93"/>
      <c r="Q268" s="93"/>
      <c r="R268" s="94"/>
      <c r="S268" s="28"/>
      <c r="T268" s="28"/>
      <c r="U268" s="110"/>
      <c r="V268" s="126"/>
    </row>
    <row r="269" spans="6:22" s="6" customFormat="1" ht="20.100000000000001" customHeight="1" x14ac:dyDescent="0.25">
      <c r="F269" s="28"/>
      <c r="G269" s="28"/>
      <c r="H269" s="92"/>
      <c r="I269" s="92"/>
      <c r="J269" s="92"/>
      <c r="K269" s="92"/>
      <c r="L269" s="92"/>
      <c r="M269" s="92"/>
      <c r="N269" s="93"/>
      <c r="O269" s="93"/>
      <c r="P269" s="93"/>
      <c r="Q269" s="93"/>
      <c r="R269" s="94"/>
      <c r="S269" s="28"/>
      <c r="T269" s="28"/>
      <c r="U269" s="110"/>
      <c r="V269" s="126"/>
    </row>
    <row r="270" spans="6:22" s="6" customFormat="1" ht="20.100000000000001" customHeight="1" x14ac:dyDescent="0.25">
      <c r="F270" s="28"/>
      <c r="G270" s="28"/>
      <c r="H270" s="92"/>
      <c r="I270" s="92"/>
      <c r="J270" s="92"/>
      <c r="K270" s="92"/>
      <c r="L270" s="92"/>
      <c r="M270" s="92"/>
      <c r="N270" s="93"/>
      <c r="O270" s="93"/>
      <c r="P270" s="93"/>
      <c r="Q270" s="93"/>
      <c r="R270" s="94"/>
      <c r="S270" s="28"/>
      <c r="T270" s="28"/>
      <c r="U270" s="110"/>
      <c r="V270" s="126"/>
    </row>
    <row r="271" spans="6:22" s="6" customFormat="1" ht="20.100000000000001" customHeight="1" x14ac:dyDescent="0.25">
      <c r="F271" s="28"/>
      <c r="G271" s="28"/>
      <c r="H271" s="92"/>
      <c r="I271" s="92"/>
      <c r="J271" s="92"/>
      <c r="K271" s="92"/>
      <c r="L271" s="92"/>
      <c r="M271" s="92"/>
      <c r="N271" s="93"/>
      <c r="O271" s="93"/>
      <c r="P271" s="93"/>
      <c r="Q271" s="93"/>
      <c r="R271" s="94"/>
      <c r="S271" s="28"/>
      <c r="T271" s="28"/>
      <c r="U271" s="110"/>
      <c r="V271" s="126"/>
    </row>
    <row r="272" spans="6:22" s="6" customFormat="1" ht="20.100000000000001" customHeight="1" x14ac:dyDescent="0.25">
      <c r="F272" s="28"/>
      <c r="G272" s="28"/>
      <c r="H272" s="92"/>
      <c r="I272" s="92"/>
      <c r="J272" s="92"/>
      <c r="K272" s="92"/>
      <c r="L272" s="92"/>
      <c r="M272" s="92"/>
      <c r="N272" s="93"/>
      <c r="O272" s="93"/>
      <c r="P272" s="93"/>
      <c r="Q272" s="93"/>
      <c r="R272" s="94"/>
      <c r="S272" s="28"/>
      <c r="T272" s="28"/>
      <c r="U272" s="110"/>
      <c r="V272" s="126"/>
    </row>
    <row r="273" spans="6:22" s="6" customFormat="1" ht="20.100000000000001" customHeight="1" x14ac:dyDescent="0.25">
      <c r="F273" s="28"/>
      <c r="G273" s="28"/>
      <c r="H273" s="92"/>
      <c r="I273" s="92"/>
      <c r="J273" s="92"/>
      <c r="K273" s="92"/>
      <c r="L273" s="92"/>
      <c r="M273" s="92"/>
      <c r="N273" s="93"/>
      <c r="O273" s="93"/>
      <c r="P273" s="93"/>
      <c r="Q273" s="93"/>
      <c r="R273" s="94"/>
      <c r="S273" s="28"/>
      <c r="T273" s="28"/>
      <c r="U273" s="110"/>
      <c r="V273" s="126"/>
    </row>
    <row r="274" spans="6:22" s="6" customFormat="1" ht="20.100000000000001" customHeight="1" x14ac:dyDescent="0.25">
      <c r="F274" s="28"/>
      <c r="G274" s="28"/>
      <c r="H274" s="92"/>
      <c r="I274" s="92"/>
      <c r="J274" s="92"/>
      <c r="K274" s="92"/>
      <c r="L274" s="92"/>
      <c r="M274" s="92"/>
      <c r="N274" s="93"/>
      <c r="O274" s="93"/>
      <c r="P274" s="93"/>
      <c r="Q274" s="93"/>
      <c r="R274" s="94"/>
      <c r="S274" s="28"/>
      <c r="T274" s="28"/>
      <c r="U274" s="110"/>
      <c r="V274" s="126"/>
    </row>
    <row r="275" spans="6:22" s="6" customFormat="1" ht="20.100000000000001" customHeight="1" x14ac:dyDescent="0.25">
      <c r="F275" s="28"/>
      <c r="G275" s="28"/>
      <c r="H275" s="92"/>
      <c r="I275" s="92"/>
      <c r="J275" s="92"/>
      <c r="K275" s="92"/>
      <c r="L275" s="92"/>
      <c r="M275" s="92"/>
      <c r="N275" s="93"/>
      <c r="O275" s="93"/>
      <c r="P275" s="93"/>
      <c r="Q275" s="93"/>
      <c r="R275" s="94"/>
      <c r="S275" s="28"/>
      <c r="T275" s="28"/>
      <c r="U275" s="110"/>
      <c r="V275" s="126"/>
    </row>
    <row r="276" spans="6:22" s="6" customFormat="1" ht="20.100000000000001" customHeight="1" x14ac:dyDescent="0.25">
      <c r="F276" s="28"/>
      <c r="G276" s="28"/>
      <c r="H276" s="92"/>
      <c r="I276" s="92"/>
      <c r="J276" s="92"/>
      <c r="K276" s="92"/>
      <c r="L276" s="92"/>
      <c r="M276" s="92"/>
      <c r="N276" s="93"/>
      <c r="O276" s="93"/>
      <c r="P276" s="93"/>
      <c r="Q276" s="93"/>
      <c r="R276" s="94"/>
      <c r="S276" s="28"/>
      <c r="T276" s="28"/>
      <c r="U276" s="110"/>
      <c r="V276" s="126"/>
    </row>
    <row r="277" spans="6:22" s="6" customFormat="1" ht="20.100000000000001" customHeight="1" x14ac:dyDescent="0.25">
      <c r="F277" s="28"/>
      <c r="G277" s="28"/>
      <c r="H277" s="92"/>
      <c r="I277" s="92"/>
      <c r="J277" s="92"/>
      <c r="K277" s="92"/>
      <c r="L277" s="92"/>
      <c r="M277" s="92"/>
      <c r="N277" s="93"/>
      <c r="O277" s="93"/>
      <c r="P277" s="93"/>
      <c r="Q277" s="93"/>
      <c r="R277" s="94"/>
      <c r="S277" s="28"/>
      <c r="T277" s="28"/>
      <c r="U277" s="110"/>
      <c r="V277" s="126"/>
    </row>
    <row r="278" spans="6:22" s="6" customFormat="1" ht="20.100000000000001" customHeight="1" x14ac:dyDescent="0.25">
      <c r="F278" s="28"/>
      <c r="G278" s="28"/>
      <c r="H278" s="92"/>
      <c r="I278" s="92"/>
      <c r="J278" s="92"/>
      <c r="K278" s="92"/>
      <c r="L278" s="92"/>
      <c r="M278" s="92"/>
      <c r="N278" s="93"/>
      <c r="O278" s="93"/>
      <c r="P278" s="93"/>
      <c r="Q278" s="93"/>
      <c r="R278" s="94"/>
      <c r="S278" s="28"/>
      <c r="T278" s="28"/>
      <c r="U278" s="110"/>
      <c r="V278" s="126"/>
    </row>
    <row r="279" spans="6:22" s="6" customFormat="1" ht="20.100000000000001" customHeight="1" x14ac:dyDescent="0.25">
      <c r="F279" s="28"/>
      <c r="G279" s="28"/>
      <c r="H279" s="92"/>
      <c r="I279" s="92"/>
      <c r="J279" s="92"/>
      <c r="K279" s="92"/>
      <c r="L279" s="92"/>
      <c r="M279" s="92"/>
      <c r="N279" s="93"/>
      <c r="O279" s="93"/>
      <c r="P279" s="93"/>
      <c r="Q279" s="93"/>
      <c r="R279" s="94"/>
      <c r="S279" s="28"/>
      <c r="T279" s="28"/>
      <c r="U279" s="110"/>
      <c r="V279" s="126"/>
    </row>
    <row r="280" spans="6:22" s="6" customFormat="1" ht="20.100000000000001" customHeight="1" x14ac:dyDescent="0.25">
      <c r="F280" s="28"/>
      <c r="G280" s="28"/>
      <c r="H280" s="92"/>
      <c r="I280" s="92"/>
      <c r="J280" s="92"/>
      <c r="K280" s="92"/>
      <c r="L280" s="92"/>
      <c r="M280" s="92"/>
      <c r="N280" s="93"/>
      <c r="O280" s="93"/>
      <c r="P280" s="93"/>
      <c r="Q280" s="93"/>
      <c r="R280" s="94"/>
      <c r="S280" s="28"/>
      <c r="T280" s="28"/>
      <c r="U280" s="110"/>
      <c r="V280" s="126"/>
    </row>
    <row r="281" spans="6:22" s="6" customFormat="1" ht="20.100000000000001" customHeight="1" x14ac:dyDescent="0.25">
      <c r="F281" s="28"/>
      <c r="G281" s="28"/>
      <c r="H281" s="92"/>
      <c r="I281" s="92"/>
      <c r="J281" s="92"/>
      <c r="K281" s="92"/>
      <c r="L281" s="92"/>
      <c r="M281" s="92"/>
      <c r="N281" s="93"/>
      <c r="O281" s="93"/>
      <c r="P281" s="93"/>
      <c r="Q281" s="93"/>
      <c r="R281" s="94"/>
      <c r="S281" s="28"/>
      <c r="T281" s="28"/>
      <c r="U281" s="110"/>
      <c r="V281" s="126"/>
    </row>
    <row r="282" spans="6:22" s="6" customFormat="1" ht="20.100000000000001" customHeight="1" x14ac:dyDescent="0.25">
      <c r="F282" s="28"/>
      <c r="G282" s="28"/>
      <c r="H282" s="92"/>
      <c r="I282" s="92"/>
      <c r="J282" s="92"/>
      <c r="K282" s="92"/>
      <c r="L282" s="92"/>
      <c r="M282" s="92"/>
      <c r="N282" s="93"/>
      <c r="O282" s="93"/>
      <c r="P282" s="93"/>
      <c r="Q282" s="93"/>
      <c r="R282" s="94"/>
      <c r="S282" s="28"/>
      <c r="T282" s="28"/>
      <c r="U282" s="110"/>
      <c r="V282" s="126"/>
    </row>
    <row r="283" spans="6:22" s="6" customFormat="1" ht="20.100000000000001" customHeight="1" x14ac:dyDescent="0.25">
      <c r="F283" s="28"/>
      <c r="G283" s="28"/>
      <c r="H283" s="92"/>
      <c r="I283" s="92"/>
      <c r="J283" s="92"/>
      <c r="K283" s="92"/>
      <c r="L283" s="92"/>
      <c r="M283" s="92"/>
      <c r="N283" s="93"/>
      <c r="O283" s="93"/>
      <c r="P283" s="93"/>
      <c r="Q283" s="93"/>
      <c r="R283" s="94"/>
      <c r="S283" s="28"/>
      <c r="T283" s="28"/>
      <c r="U283" s="110"/>
      <c r="V283" s="126"/>
    </row>
    <row r="284" spans="6:22" s="6" customFormat="1" ht="20.100000000000001" customHeight="1" x14ac:dyDescent="0.25">
      <c r="F284" s="28"/>
      <c r="G284" s="28"/>
      <c r="H284" s="92"/>
      <c r="I284" s="92"/>
      <c r="J284" s="92"/>
      <c r="K284" s="92"/>
      <c r="L284" s="92"/>
      <c r="M284" s="92"/>
      <c r="N284" s="93"/>
      <c r="O284" s="93"/>
      <c r="P284" s="93"/>
      <c r="Q284" s="93"/>
      <c r="R284" s="94"/>
      <c r="S284" s="28"/>
      <c r="T284" s="28"/>
      <c r="U284" s="110"/>
      <c r="V284" s="126"/>
    </row>
    <row r="285" spans="6:22" s="6" customFormat="1" ht="20.100000000000001" customHeight="1" x14ac:dyDescent="0.25">
      <c r="F285" s="28"/>
      <c r="G285" s="28"/>
      <c r="H285" s="92"/>
      <c r="I285" s="92"/>
      <c r="J285" s="92"/>
      <c r="K285" s="92"/>
      <c r="L285" s="92"/>
      <c r="M285" s="92"/>
      <c r="N285" s="93"/>
      <c r="O285" s="93"/>
      <c r="P285" s="93"/>
      <c r="Q285" s="93"/>
      <c r="R285" s="94"/>
      <c r="S285" s="28"/>
      <c r="T285" s="28"/>
      <c r="U285" s="110"/>
      <c r="V285" s="126"/>
    </row>
    <row r="286" spans="6:22" s="6" customFormat="1" ht="20.100000000000001" customHeight="1" x14ac:dyDescent="0.25">
      <c r="F286" s="28"/>
      <c r="G286" s="28"/>
      <c r="H286" s="92"/>
      <c r="I286" s="92"/>
      <c r="J286" s="92"/>
      <c r="K286" s="92"/>
      <c r="L286" s="92"/>
      <c r="M286" s="92"/>
      <c r="N286" s="93"/>
      <c r="O286" s="93"/>
      <c r="P286" s="93"/>
      <c r="Q286" s="93"/>
      <c r="R286" s="94"/>
      <c r="S286" s="28"/>
      <c r="T286" s="28"/>
      <c r="U286" s="110"/>
      <c r="V286" s="126"/>
    </row>
    <row r="287" spans="6:22" s="6" customFormat="1" ht="20.100000000000001" customHeight="1" x14ac:dyDescent="0.25">
      <c r="F287" s="28"/>
      <c r="G287" s="28"/>
      <c r="H287" s="92"/>
      <c r="I287" s="92"/>
      <c r="J287" s="92"/>
      <c r="K287" s="92"/>
      <c r="L287" s="92"/>
      <c r="M287" s="92"/>
      <c r="N287" s="93"/>
      <c r="O287" s="93"/>
      <c r="P287" s="93"/>
      <c r="Q287" s="93"/>
      <c r="R287" s="94"/>
      <c r="S287" s="28"/>
      <c r="T287" s="28"/>
      <c r="U287" s="110"/>
      <c r="V287" s="126"/>
    </row>
    <row r="288" spans="6:22" s="6" customFormat="1" ht="20.100000000000001" customHeight="1" x14ac:dyDescent="0.25">
      <c r="F288" s="28"/>
      <c r="G288" s="28"/>
      <c r="H288" s="92"/>
      <c r="I288" s="92"/>
      <c r="J288" s="92"/>
      <c r="K288" s="92"/>
      <c r="L288" s="92"/>
      <c r="M288" s="92"/>
      <c r="N288" s="93"/>
      <c r="O288" s="93"/>
      <c r="P288" s="93"/>
      <c r="Q288" s="93"/>
      <c r="R288" s="94"/>
      <c r="S288" s="28"/>
      <c r="T288" s="28"/>
      <c r="U288" s="110"/>
      <c r="V288" s="126"/>
    </row>
    <row r="289" spans="6:22" s="6" customFormat="1" ht="20.100000000000001" customHeight="1" x14ac:dyDescent="0.25">
      <c r="F289" s="28"/>
      <c r="G289" s="28"/>
      <c r="H289" s="92"/>
      <c r="I289" s="92"/>
      <c r="J289" s="92"/>
      <c r="K289" s="92"/>
      <c r="L289" s="92"/>
      <c r="M289" s="92"/>
      <c r="N289" s="93"/>
      <c r="O289" s="93"/>
      <c r="P289" s="93"/>
      <c r="Q289" s="93"/>
      <c r="R289" s="94"/>
      <c r="S289" s="28"/>
      <c r="T289" s="28"/>
      <c r="U289" s="110"/>
      <c r="V289" s="126"/>
    </row>
    <row r="290" spans="6:22" s="6" customFormat="1" ht="20.100000000000001" customHeight="1" x14ac:dyDescent="0.25">
      <c r="F290" s="28"/>
      <c r="G290" s="28"/>
      <c r="H290" s="92"/>
      <c r="I290" s="92"/>
      <c r="J290" s="92"/>
      <c r="K290" s="92"/>
      <c r="L290" s="92"/>
      <c r="M290" s="92"/>
      <c r="N290" s="93"/>
      <c r="O290" s="93"/>
      <c r="P290" s="93"/>
      <c r="Q290" s="93"/>
      <c r="R290" s="94"/>
      <c r="S290" s="28"/>
      <c r="T290" s="28"/>
      <c r="U290" s="110"/>
      <c r="V290" s="126"/>
    </row>
    <row r="291" spans="6:22" s="6" customFormat="1" ht="20.100000000000001" customHeight="1" x14ac:dyDescent="0.25">
      <c r="F291" s="28"/>
      <c r="G291" s="28"/>
      <c r="H291" s="92"/>
      <c r="I291" s="92"/>
      <c r="J291" s="92"/>
      <c r="K291" s="92"/>
      <c r="L291" s="92"/>
      <c r="M291" s="92"/>
      <c r="N291" s="93"/>
      <c r="O291" s="93"/>
      <c r="P291" s="93"/>
      <c r="Q291" s="93"/>
      <c r="R291" s="94"/>
      <c r="S291" s="28"/>
      <c r="T291" s="28"/>
      <c r="U291" s="110"/>
      <c r="V291" s="126"/>
    </row>
    <row r="292" spans="6:22" s="6" customFormat="1" ht="20.100000000000001" customHeight="1" x14ac:dyDescent="0.25">
      <c r="F292" s="28"/>
      <c r="G292" s="28"/>
      <c r="H292" s="92"/>
      <c r="I292" s="92"/>
      <c r="J292" s="92"/>
      <c r="K292" s="92"/>
      <c r="L292" s="92"/>
      <c r="M292" s="92"/>
      <c r="N292" s="93"/>
      <c r="O292" s="93"/>
      <c r="P292" s="93"/>
      <c r="Q292" s="93"/>
      <c r="R292" s="94"/>
      <c r="S292" s="28"/>
      <c r="T292" s="28"/>
      <c r="U292" s="110"/>
      <c r="V292" s="126"/>
    </row>
    <row r="293" spans="6:22" s="6" customFormat="1" ht="20.100000000000001" customHeight="1" x14ac:dyDescent="0.25">
      <c r="F293" s="28"/>
      <c r="G293" s="28"/>
      <c r="H293" s="92"/>
      <c r="I293" s="92"/>
      <c r="J293" s="92"/>
      <c r="K293" s="92"/>
      <c r="L293" s="92"/>
      <c r="M293" s="92"/>
      <c r="N293" s="93"/>
      <c r="O293" s="93"/>
      <c r="P293" s="93"/>
      <c r="Q293" s="93"/>
      <c r="R293" s="94"/>
      <c r="S293" s="28"/>
      <c r="T293" s="28"/>
      <c r="U293" s="110"/>
      <c r="V293" s="126"/>
    </row>
    <row r="294" spans="6:22" s="6" customFormat="1" ht="20.100000000000001" customHeight="1" x14ac:dyDescent="0.25">
      <c r="F294" s="28"/>
      <c r="G294" s="28"/>
      <c r="H294" s="92"/>
      <c r="I294" s="92"/>
      <c r="J294" s="92"/>
      <c r="K294" s="92"/>
      <c r="L294" s="92"/>
      <c r="M294" s="92"/>
      <c r="N294" s="93"/>
      <c r="O294" s="93"/>
      <c r="P294" s="93"/>
      <c r="Q294" s="93"/>
      <c r="R294" s="94"/>
      <c r="S294" s="28"/>
      <c r="T294" s="28"/>
      <c r="U294" s="110"/>
      <c r="V294" s="126"/>
    </row>
    <row r="295" spans="6:22" s="6" customFormat="1" ht="20.100000000000001" customHeight="1" x14ac:dyDescent="0.25">
      <c r="F295" s="28"/>
      <c r="G295" s="28"/>
      <c r="H295" s="92"/>
      <c r="I295" s="92"/>
      <c r="J295" s="92"/>
      <c r="K295" s="92"/>
      <c r="L295" s="92"/>
      <c r="M295" s="92"/>
      <c r="N295" s="93"/>
      <c r="O295" s="93"/>
      <c r="P295" s="93"/>
      <c r="Q295" s="93"/>
      <c r="R295" s="94"/>
      <c r="S295" s="28"/>
      <c r="T295" s="28"/>
      <c r="U295" s="110"/>
      <c r="V295" s="126"/>
    </row>
    <row r="296" spans="6:22" s="6" customFormat="1" ht="20.100000000000001" customHeight="1" x14ac:dyDescent="0.25">
      <c r="F296" s="28"/>
      <c r="G296" s="28"/>
      <c r="H296" s="92"/>
      <c r="I296" s="92"/>
      <c r="J296" s="92"/>
      <c r="K296" s="92"/>
      <c r="L296" s="92"/>
      <c r="M296" s="92"/>
      <c r="N296" s="93"/>
      <c r="O296" s="93"/>
      <c r="P296" s="93"/>
      <c r="Q296" s="93"/>
      <c r="R296" s="94"/>
      <c r="S296" s="28"/>
      <c r="T296" s="28"/>
      <c r="U296" s="110"/>
      <c r="V296" s="126"/>
    </row>
    <row r="297" spans="6:22" s="6" customFormat="1" ht="20.100000000000001" customHeight="1" x14ac:dyDescent="0.25">
      <c r="F297" s="28"/>
      <c r="G297" s="28"/>
      <c r="H297" s="92"/>
      <c r="I297" s="92"/>
      <c r="J297" s="92"/>
      <c r="K297" s="92"/>
      <c r="L297" s="92"/>
      <c r="M297" s="92"/>
      <c r="N297" s="93"/>
      <c r="O297" s="93"/>
      <c r="P297" s="93"/>
      <c r="Q297" s="93"/>
      <c r="R297" s="94"/>
      <c r="S297" s="28"/>
      <c r="T297" s="28"/>
      <c r="U297" s="110"/>
      <c r="V297" s="126"/>
    </row>
    <row r="298" spans="6:22" s="6" customFormat="1" ht="20.100000000000001" customHeight="1" x14ac:dyDescent="0.25">
      <c r="F298" s="28"/>
      <c r="G298" s="28"/>
      <c r="H298" s="92"/>
      <c r="I298" s="92"/>
      <c r="J298" s="92"/>
      <c r="K298" s="92"/>
      <c r="L298" s="92"/>
      <c r="M298" s="92"/>
      <c r="N298" s="93"/>
      <c r="O298" s="93"/>
      <c r="P298" s="93"/>
      <c r="Q298" s="93"/>
      <c r="R298" s="94"/>
      <c r="S298" s="28"/>
      <c r="T298" s="28"/>
      <c r="U298" s="110"/>
      <c r="V298" s="126"/>
    </row>
    <row r="299" spans="6:22" s="6" customFormat="1" ht="20.100000000000001" customHeight="1" x14ac:dyDescent="0.25">
      <c r="F299" s="28"/>
      <c r="G299" s="28"/>
      <c r="H299" s="92"/>
      <c r="I299" s="92"/>
      <c r="J299" s="92"/>
      <c r="K299" s="92"/>
      <c r="L299" s="92"/>
      <c r="M299" s="92"/>
      <c r="N299" s="93"/>
      <c r="O299" s="93"/>
      <c r="P299" s="93"/>
      <c r="Q299" s="93"/>
      <c r="R299" s="94"/>
      <c r="S299" s="28"/>
      <c r="T299" s="28"/>
      <c r="U299" s="110"/>
      <c r="V299" s="126"/>
    </row>
    <row r="300" spans="6:22" s="6" customFormat="1" ht="20.100000000000001" customHeight="1" x14ac:dyDescent="0.25">
      <c r="F300" s="28"/>
      <c r="G300" s="28"/>
      <c r="H300" s="92"/>
      <c r="I300" s="92"/>
      <c r="J300" s="92"/>
      <c r="K300" s="92"/>
      <c r="L300" s="92"/>
      <c r="M300" s="92"/>
      <c r="N300" s="93"/>
      <c r="O300" s="93"/>
      <c r="P300" s="93"/>
      <c r="Q300" s="93"/>
      <c r="R300" s="94"/>
      <c r="S300" s="28"/>
      <c r="T300" s="28"/>
      <c r="U300" s="110"/>
      <c r="V300" s="126"/>
    </row>
    <row r="301" spans="6:22" s="6" customFormat="1" ht="20.100000000000001" customHeight="1" x14ac:dyDescent="0.25">
      <c r="F301" s="28"/>
      <c r="G301" s="28"/>
      <c r="H301" s="92"/>
      <c r="I301" s="92"/>
      <c r="J301" s="92"/>
      <c r="K301" s="92"/>
      <c r="L301" s="92"/>
      <c r="M301" s="92"/>
      <c r="N301" s="93"/>
      <c r="O301" s="93"/>
      <c r="P301" s="93"/>
      <c r="Q301" s="93"/>
      <c r="R301" s="94"/>
      <c r="S301" s="28"/>
      <c r="T301" s="28"/>
      <c r="U301" s="110"/>
      <c r="V301" s="126"/>
    </row>
    <row r="302" spans="6:22" s="6" customFormat="1" ht="20.100000000000001" customHeight="1" x14ac:dyDescent="0.25">
      <c r="F302" s="28"/>
      <c r="G302" s="28"/>
      <c r="H302" s="92"/>
      <c r="I302" s="92"/>
      <c r="J302" s="92"/>
      <c r="K302" s="92"/>
      <c r="L302" s="92"/>
      <c r="M302" s="92"/>
      <c r="N302" s="93"/>
      <c r="O302" s="93"/>
      <c r="P302" s="93"/>
      <c r="Q302" s="93"/>
      <c r="R302" s="94"/>
      <c r="S302" s="28"/>
      <c r="T302" s="28"/>
      <c r="U302" s="110"/>
      <c r="V302" s="126"/>
    </row>
    <row r="303" spans="6:22" s="6" customFormat="1" ht="20.100000000000001" customHeight="1" x14ac:dyDescent="0.25">
      <c r="F303" s="28"/>
      <c r="G303" s="28"/>
      <c r="H303" s="92"/>
      <c r="I303" s="92"/>
      <c r="J303" s="92"/>
      <c r="K303" s="92"/>
      <c r="L303" s="92"/>
      <c r="M303" s="92"/>
      <c r="N303" s="93"/>
      <c r="O303" s="93"/>
      <c r="P303" s="93"/>
      <c r="Q303" s="93"/>
      <c r="R303" s="94"/>
      <c r="S303" s="28"/>
      <c r="T303" s="28"/>
      <c r="U303" s="110"/>
      <c r="V303" s="126"/>
    </row>
    <row r="304" spans="6:22" s="6" customFormat="1" ht="20.100000000000001" customHeight="1" x14ac:dyDescent="0.25">
      <c r="F304" s="28"/>
      <c r="G304" s="28"/>
      <c r="H304" s="92"/>
      <c r="I304" s="92"/>
      <c r="J304" s="92"/>
      <c r="K304" s="92"/>
      <c r="L304" s="92"/>
      <c r="M304" s="92"/>
      <c r="N304" s="93"/>
      <c r="O304" s="93"/>
      <c r="P304" s="93"/>
      <c r="Q304" s="93"/>
      <c r="R304" s="94"/>
      <c r="S304" s="28"/>
      <c r="T304" s="28"/>
      <c r="U304" s="110"/>
      <c r="V304" s="126"/>
    </row>
    <row r="305" spans="6:22" s="6" customFormat="1" ht="20.100000000000001" customHeight="1" x14ac:dyDescent="0.25">
      <c r="F305" s="28"/>
      <c r="G305" s="28"/>
      <c r="H305" s="92"/>
      <c r="I305" s="92"/>
      <c r="J305" s="92"/>
      <c r="K305" s="92"/>
      <c r="L305" s="92"/>
      <c r="M305" s="92"/>
      <c r="N305" s="93"/>
      <c r="O305" s="93"/>
      <c r="P305" s="93"/>
      <c r="Q305" s="93"/>
      <c r="R305" s="94"/>
      <c r="S305" s="28"/>
      <c r="T305" s="28"/>
      <c r="U305" s="110"/>
      <c r="V305" s="126"/>
    </row>
    <row r="306" spans="6:22" s="6" customFormat="1" ht="20.100000000000001" customHeight="1" x14ac:dyDescent="0.25">
      <c r="F306" s="28"/>
      <c r="G306" s="28"/>
      <c r="H306" s="92"/>
      <c r="I306" s="92"/>
      <c r="J306" s="92"/>
      <c r="K306" s="92"/>
      <c r="L306" s="92"/>
      <c r="M306" s="92"/>
      <c r="N306" s="93"/>
      <c r="O306" s="93"/>
      <c r="P306" s="93"/>
      <c r="Q306" s="93"/>
      <c r="R306" s="94"/>
      <c r="S306" s="28"/>
      <c r="T306" s="28"/>
      <c r="U306" s="110"/>
      <c r="V306" s="126"/>
    </row>
    <row r="307" spans="6:22" s="6" customFormat="1" ht="20.100000000000001" customHeight="1" x14ac:dyDescent="0.25">
      <c r="F307" s="28"/>
      <c r="G307" s="28"/>
      <c r="H307" s="92"/>
      <c r="I307" s="92"/>
      <c r="J307" s="92"/>
      <c r="K307" s="92"/>
      <c r="L307" s="92"/>
      <c r="M307" s="92"/>
      <c r="N307" s="93"/>
      <c r="O307" s="93"/>
      <c r="P307" s="93"/>
      <c r="Q307" s="93"/>
      <c r="R307" s="94"/>
      <c r="S307" s="28"/>
      <c r="T307" s="28"/>
      <c r="U307" s="110"/>
      <c r="V307" s="126"/>
    </row>
    <row r="308" spans="6:22" s="6" customFormat="1" ht="20.100000000000001" customHeight="1" x14ac:dyDescent="0.25">
      <c r="F308" s="28"/>
      <c r="G308" s="28"/>
      <c r="H308" s="92"/>
      <c r="I308" s="92"/>
      <c r="J308" s="92"/>
      <c r="K308" s="92"/>
      <c r="L308" s="92"/>
      <c r="M308" s="92"/>
      <c r="N308" s="93"/>
      <c r="O308" s="93"/>
      <c r="P308" s="93"/>
      <c r="Q308" s="93"/>
      <c r="R308" s="94"/>
      <c r="S308" s="28"/>
      <c r="T308" s="28"/>
      <c r="U308" s="110"/>
      <c r="V308" s="126"/>
    </row>
    <row r="309" spans="6:22" s="6" customFormat="1" ht="20.100000000000001" customHeight="1" x14ac:dyDescent="0.25">
      <c r="F309" s="28"/>
      <c r="G309" s="28"/>
      <c r="H309" s="92"/>
      <c r="I309" s="92"/>
      <c r="J309" s="92"/>
      <c r="K309" s="92"/>
      <c r="L309" s="92"/>
      <c r="M309" s="92"/>
      <c r="N309" s="93"/>
      <c r="O309" s="93"/>
      <c r="P309" s="93"/>
      <c r="Q309" s="93"/>
      <c r="R309" s="94"/>
      <c r="S309" s="28"/>
      <c r="T309" s="28"/>
      <c r="U309" s="110"/>
      <c r="V309" s="126"/>
    </row>
    <row r="310" spans="6:22" s="6" customFormat="1" ht="20.100000000000001" customHeight="1" x14ac:dyDescent="0.25">
      <c r="F310" s="28"/>
      <c r="G310" s="28"/>
      <c r="H310" s="92"/>
      <c r="I310" s="92"/>
      <c r="J310" s="92"/>
      <c r="K310" s="92"/>
      <c r="L310" s="92"/>
      <c r="M310" s="92"/>
      <c r="N310" s="93"/>
      <c r="O310" s="93"/>
      <c r="P310" s="93"/>
      <c r="Q310" s="93"/>
      <c r="R310" s="94"/>
      <c r="S310" s="28"/>
      <c r="T310" s="28"/>
      <c r="U310" s="110"/>
      <c r="V310" s="126"/>
    </row>
    <row r="311" spans="6:22" s="6" customFormat="1" ht="20.100000000000001" customHeight="1" x14ac:dyDescent="0.25">
      <c r="F311" s="28"/>
      <c r="G311" s="28"/>
      <c r="H311" s="92"/>
      <c r="I311" s="92"/>
      <c r="J311" s="92"/>
      <c r="K311" s="92"/>
      <c r="L311" s="92"/>
      <c r="M311" s="92"/>
      <c r="N311" s="93"/>
      <c r="O311" s="93"/>
      <c r="P311" s="93"/>
      <c r="Q311" s="93"/>
      <c r="R311" s="94"/>
      <c r="S311" s="28"/>
      <c r="T311" s="28"/>
      <c r="U311" s="110"/>
      <c r="V311" s="126"/>
    </row>
    <row r="312" spans="6:22" s="6" customFormat="1" ht="20.100000000000001" customHeight="1" x14ac:dyDescent="0.25">
      <c r="F312" s="28"/>
      <c r="G312" s="28"/>
      <c r="H312" s="92"/>
      <c r="I312" s="92"/>
      <c r="J312" s="92"/>
      <c r="K312" s="92"/>
      <c r="L312" s="92"/>
      <c r="M312" s="92"/>
      <c r="N312" s="93"/>
      <c r="O312" s="93"/>
      <c r="P312" s="93"/>
      <c r="Q312" s="93"/>
      <c r="R312" s="94"/>
      <c r="S312" s="28"/>
      <c r="T312" s="28"/>
      <c r="U312" s="110"/>
      <c r="V312" s="126"/>
    </row>
    <row r="313" spans="6:22" s="6" customFormat="1" ht="20.100000000000001" customHeight="1" x14ac:dyDescent="0.25">
      <c r="F313" s="28"/>
      <c r="G313" s="28"/>
      <c r="H313" s="92"/>
      <c r="I313" s="92"/>
      <c r="J313" s="92"/>
      <c r="K313" s="92"/>
      <c r="L313" s="92"/>
      <c r="M313" s="92"/>
      <c r="N313" s="93"/>
      <c r="O313" s="93"/>
      <c r="P313" s="93"/>
      <c r="Q313" s="93"/>
      <c r="R313" s="94"/>
      <c r="S313" s="28"/>
      <c r="T313" s="28"/>
      <c r="U313" s="110"/>
      <c r="V313" s="126"/>
    </row>
    <row r="314" spans="6:22" s="6" customFormat="1" ht="20.100000000000001" customHeight="1" x14ac:dyDescent="0.25">
      <c r="F314" s="28"/>
      <c r="G314" s="28"/>
      <c r="H314" s="92"/>
      <c r="I314" s="92"/>
      <c r="J314" s="92"/>
      <c r="K314" s="92"/>
      <c r="L314" s="92"/>
      <c r="M314" s="92"/>
      <c r="N314" s="93"/>
      <c r="O314" s="93"/>
      <c r="P314" s="93"/>
      <c r="Q314" s="93"/>
      <c r="R314" s="94"/>
      <c r="S314" s="28"/>
      <c r="T314" s="28"/>
      <c r="U314" s="110"/>
      <c r="V314" s="126"/>
    </row>
    <row r="315" spans="6:22" s="6" customFormat="1" ht="20.100000000000001" customHeight="1" x14ac:dyDescent="0.25">
      <c r="F315" s="28"/>
      <c r="G315" s="28"/>
      <c r="H315" s="92"/>
      <c r="I315" s="92"/>
      <c r="J315" s="92"/>
      <c r="K315" s="92"/>
      <c r="L315" s="92"/>
      <c r="M315" s="92"/>
      <c r="N315" s="93"/>
      <c r="O315" s="93"/>
      <c r="P315" s="93"/>
      <c r="Q315" s="93"/>
      <c r="R315" s="94"/>
      <c r="S315" s="28"/>
      <c r="T315" s="28"/>
      <c r="U315" s="110"/>
      <c r="V315" s="126"/>
    </row>
    <row r="316" spans="6:22" s="6" customFormat="1" ht="20.100000000000001" customHeight="1" x14ac:dyDescent="0.25">
      <c r="F316" s="28"/>
      <c r="G316" s="28"/>
      <c r="H316" s="92"/>
      <c r="I316" s="92"/>
      <c r="J316" s="92"/>
      <c r="K316" s="92"/>
      <c r="L316" s="92"/>
      <c r="M316" s="92"/>
      <c r="N316" s="93"/>
      <c r="O316" s="93"/>
      <c r="P316" s="93"/>
      <c r="Q316" s="93"/>
      <c r="R316" s="94"/>
      <c r="S316" s="28"/>
      <c r="T316" s="28"/>
      <c r="U316" s="110"/>
      <c r="V316" s="126"/>
    </row>
    <row r="317" spans="6:22" s="6" customFormat="1" ht="20.100000000000001" customHeight="1" x14ac:dyDescent="0.25">
      <c r="F317" s="28"/>
      <c r="G317" s="28"/>
      <c r="H317" s="92"/>
      <c r="I317" s="92"/>
      <c r="J317" s="92"/>
      <c r="K317" s="92"/>
      <c r="L317" s="92"/>
      <c r="M317" s="92"/>
      <c r="N317" s="93"/>
      <c r="O317" s="93"/>
      <c r="P317" s="93"/>
      <c r="Q317" s="93"/>
      <c r="R317" s="94"/>
      <c r="S317" s="28"/>
      <c r="T317" s="28"/>
      <c r="U317" s="110"/>
      <c r="V317" s="126"/>
    </row>
    <row r="318" spans="6:22" s="6" customFormat="1" ht="20.100000000000001" customHeight="1" x14ac:dyDescent="0.25">
      <c r="F318" s="28"/>
      <c r="G318" s="28"/>
      <c r="H318" s="92"/>
      <c r="I318" s="92"/>
      <c r="J318" s="92"/>
      <c r="K318" s="92"/>
      <c r="L318" s="92"/>
      <c r="M318" s="92"/>
      <c r="N318" s="93"/>
      <c r="O318" s="93"/>
      <c r="P318" s="93"/>
      <c r="Q318" s="93"/>
      <c r="R318" s="94"/>
      <c r="S318" s="28"/>
      <c r="T318" s="28"/>
      <c r="U318" s="110"/>
      <c r="V318" s="126"/>
    </row>
    <row r="319" spans="6:22" s="6" customFormat="1" ht="20.100000000000001" customHeight="1" x14ac:dyDescent="0.25">
      <c r="F319" s="28"/>
      <c r="G319" s="28"/>
      <c r="H319" s="92"/>
      <c r="I319" s="92"/>
      <c r="J319" s="92"/>
      <c r="K319" s="92"/>
      <c r="L319" s="92"/>
      <c r="M319" s="92"/>
      <c r="N319" s="93"/>
      <c r="O319" s="93"/>
      <c r="P319" s="93"/>
      <c r="Q319" s="93"/>
      <c r="R319" s="94"/>
      <c r="S319" s="28"/>
      <c r="T319" s="28"/>
      <c r="U319" s="110"/>
      <c r="V319" s="126"/>
    </row>
    <row r="320" spans="6:22" s="6" customFormat="1" ht="20.100000000000001" customHeight="1" x14ac:dyDescent="0.25">
      <c r="F320" s="28"/>
      <c r="G320" s="28"/>
      <c r="H320" s="92"/>
      <c r="I320" s="92"/>
      <c r="J320" s="92"/>
      <c r="K320" s="92"/>
      <c r="L320" s="92"/>
      <c r="M320" s="92"/>
      <c r="N320" s="93"/>
      <c r="O320" s="93"/>
      <c r="P320" s="93"/>
      <c r="Q320" s="93"/>
      <c r="R320" s="94"/>
      <c r="S320" s="28"/>
      <c r="T320" s="28"/>
      <c r="U320" s="110"/>
      <c r="V320" s="126"/>
    </row>
    <row r="321" spans="6:22" s="6" customFormat="1" ht="20.100000000000001" customHeight="1" x14ac:dyDescent="0.25">
      <c r="F321" s="28"/>
      <c r="G321" s="28"/>
      <c r="H321" s="92"/>
      <c r="I321" s="92"/>
      <c r="J321" s="92"/>
      <c r="K321" s="92"/>
      <c r="L321" s="92"/>
      <c r="M321" s="92"/>
      <c r="N321" s="93"/>
      <c r="O321" s="93"/>
      <c r="P321" s="93"/>
      <c r="Q321" s="93"/>
      <c r="R321" s="94"/>
      <c r="S321" s="28"/>
      <c r="T321" s="28"/>
      <c r="U321" s="110"/>
      <c r="V321" s="126"/>
    </row>
    <row r="322" spans="6:22" s="6" customFormat="1" ht="20.100000000000001" customHeight="1" x14ac:dyDescent="0.25">
      <c r="F322" s="28"/>
      <c r="G322" s="28"/>
      <c r="H322" s="92"/>
      <c r="I322" s="92"/>
      <c r="J322" s="92"/>
      <c r="K322" s="92"/>
      <c r="L322" s="92"/>
      <c r="M322" s="92"/>
      <c r="N322" s="93"/>
      <c r="O322" s="93"/>
      <c r="P322" s="93"/>
      <c r="Q322" s="93"/>
      <c r="R322" s="94"/>
      <c r="S322" s="28"/>
      <c r="T322" s="28"/>
      <c r="U322" s="110"/>
      <c r="V322" s="126"/>
    </row>
    <row r="323" spans="6:22" s="6" customFormat="1" ht="20.100000000000001" customHeight="1" x14ac:dyDescent="0.25">
      <c r="F323" s="28"/>
      <c r="G323" s="28"/>
      <c r="H323" s="92"/>
      <c r="I323" s="92"/>
      <c r="J323" s="92"/>
      <c r="K323" s="92"/>
      <c r="L323" s="92"/>
      <c r="M323" s="92"/>
      <c r="N323" s="93"/>
      <c r="O323" s="93"/>
      <c r="P323" s="93"/>
      <c r="Q323" s="93"/>
      <c r="R323" s="94"/>
      <c r="S323" s="28"/>
      <c r="T323" s="28"/>
      <c r="U323" s="110"/>
      <c r="V323" s="126"/>
    </row>
    <row r="324" spans="6:22" s="6" customFormat="1" ht="20.100000000000001" customHeight="1" x14ac:dyDescent="0.25">
      <c r="F324" s="28"/>
      <c r="G324" s="28"/>
      <c r="H324" s="92"/>
      <c r="I324" s="92"/>
      <c r="J324" s="92"/>
      <c r="K324" s="92"/>
      <c r="L324" s="92"/>
      <c r="M324" s="92"/>
      <c r="N324" s="93"/>
      <c r="O324" s="93"/>
      <c r="P324" s="93"/>
      <c r="Q324" s="93"/>
      <c r="R324" s="94"/>
      <c r="S324" s="28"/>
      <c r="T324" s="28"/>
      <c r="U324" s="110"/>
      <c r="V324" s="126"/>
    </row>
    <row r="325" spans="6:22" s="6" customFormat="1" ht="20.100000000000001" customHeight="1" x14ac:dyDescent="0.25">
      <c r="F325" s="28"/>
      <c r="G325" s="28"/>
      <c r="H325" s="92"/>
      <c r="I325" s="92"/>
      <c r="J325" s="92"/>
      <c r="K325" s="92"/>
      <c r="L325" s="92"/>
      <c r="M325" s="92"/>
      <c r="N325" s="93"/>
      <c r="O325" s="93"/>
      <c r="P325" s="93"/>
      <c r="Q325" s="93"/>
      <c r="R325" s="94"/>
      <c r="S325" s="28"/>
      <c r="T325" s="28"/>
      <c r="U325" s="110"/>
      <c r="V325" s="126"/>
    </row>
    <row r="326" spans="6:22" s="6" customFormat="1" ht="20.100000000000001" customHeight="1" x14ac:dyDescent="0.25">
      <c r="F326" s="28"/>
      <c r="G326" s="28"/>
      <c r="H326" s="92"/>
      <c r="I326" s="92"/>
      <c r="J326" s="92"/>
      <c r="K326" s="92"/>
      <c r="L326" s="92"/>
      <c r="M326" s="92"/>
      <c r="N326" s="93"/>
      <c r="O326" s="93"/>
      <c r="P326" s="93"/>
      <c r="Q326" s="93"/>
      <c r="R326" s="94"/>
      <c r="S326" s="28"/>
      <c r="T326" s="28"/>
      <c r="U326" s="110"/>
      <c r="V326" s="126"/>
    </row>
    <row r="327" spans="6:22" s="6" customFormat="1" ht="20.100000000000001" customHeight="1" x14ac:dyDescent="0.25">
      <c r="F327" s="28"/>
      <c r="G327" s="28"/>
      <c r="H327" s="92"/>
      <c r="I327" s="92"/>
      <c r="J327" s="92"/>
      <c r="K327" s="92"/>
      <c r="L327" s="92"/>
      <c r="M327" s="92"/>
      <c r="N327" s="93"/>
      <c r="O327" s="93"/>
      <c r="P327" s="93"/>
      <c r="Q327" s="93"/>
      <c r="R327" s="94"/>
      <c r="S327" s="28"/>
      <c r="T327" s="28"/>
      <c r="U327" s="110"/>
      <c r="V327" s="126"/>
    </row>
    <row r="328" spans="6:22" s="6" customFormat="1" ht="20.100000000000001" customHeight="1" x14ac:dyDescent="0.25">
      <c r="F328" s="28"/>
      <c r="G328" s="28"/>
      <c r="H328" s="92"/>
      <c r="I328" s="92"/>
      <c r="J328" s="92"/>
      <c r="K328" s="92"/>
      <c r="L328" s="92"/>
      <c r="M328" s="92"/>
      <c r="N328" s="93"/>
      <c r="O328" s="93"/>
      <c r="P328" s="93"/>
      <c r="Q328" s="93"/>
      <c r="R328" s="94"/>
      <c r="S328" s="28"/>
      <c r="T328" s="28"/>
      <c r="U328" s="110"/>
      <c r="V328" s="126"/>
    </row>
    <row r="329" spans="6:22" s="6" customFormat="1" ht="20.100000000000001" customHeight="1" x14ac:dyDescent="0.25">
      <c r="F329" s="28"/>
      <c r="G329" s="28"/>
      <c r="H329" s="92"/>
      <c r="I329" s="92"/>
      <c r="J329" s="92"/>
      <c r="K329" s="92"/>
      <c r="L329" s="92"/>
      <c r="M329" s="92"/>
      <c r="N329" s="93"/>
      <c r="O329" s="93"/>
      <c r="P329" s="93"/>
      <c r="Q329" s="93"/>
      <c r="R329" s="94"/>
      <c r="S329" s="28"/>
      <c r="T329" s="28"/>
      <c r="U329" s="110"/>
      <c r="V329" s="126"/>
    </row>
    <row r="330" spans="6:22" s="6" customFormat="1" ht="20.100000000000001" customHeight="1" x14ac:dyDescent="0.25">
      <c r="F330" s="28"/>
      <c r="G330" s="28"/>
      <c r="H330" s="92"/>
      <c r="I330" s="92"/>
      <c r="J330" s="92"/>
      <c r="K330" s="92"/>
      <c r="L330" s="92"/>
      <c r="M330" s="92"/>
      <c r="N330" s="93"/>
      <c r="O330" s="93"/>
      <c r="P330" s="93"/>
      <c r="Q330" s="93"/>
      <c r="R330" s="94"/>
      <c r="S330" s="28"/>
      <c r="T330" s="28"/>
      <c r="U330" s="110"/>
      <c r="V330" s="126"/>
    </row>
    <row r="331" spans="6:22" s="6" customFormat="1" ht="20.100000000000001" customHeight="1" x14ac:dyDescent="0.25">
      <c r="F331" s="28"/>
      <c r="G331" s="28"/>
      <c r="H331" s="92"/>
      <c r="I331" s="92"/>
      <c r="J331" s="92"/>
      <c r="K331" s="92"/>
      <c r="L331" s="92"/>
      <c r="M331" s="92"/>
      <c r="N331" s="93"/>
      <c r="O331" s="93"/>
      <c r="P331" s="93"/>
      <c r="Q331" s="93"/>
      <c r="R331" s="94"/>
      <c r="S331" s="28"/>
      <c r="T331" s="28"/>
      <c r="U331" s="110"/>
      <c r="V331" s="126"/>
    </row>
    <row r="332" spans="6:22" s="6" customFormat="1" ht="20.100000000000001" customHeight="1" x14ac:dyDescent="0.25">
      <c r="F332" s="28"/>
      <c r="G332" s="28"/>
      <c r="H332" s="92"/>
      <c r="I332" s="92"/>
      <c r="J332" s="92"/>
      <c r="K332" s="92"/>
      <c r="L332" s="92"/>
      <c r="M332" s="92"/>
      <c r="N332" s="93"/>
      <c r="O332" s="93"/>
      <c r="P332" s="93"/>
      <c r="Q332" s="93"/>
      <c r="R332" s="94"/>
      <c r="S332" s="28"/>
      <c r="T332" s="28"/>
      <c r="U332" s="110"/>
      <c r="V332" s="126"/>
    </row>
    <row r="333" spans="6:22" s="6" customFormat="1" ht="20.100000000000001" customHeight="1" x14ac:dyDescent="0.25">
      <c r="F333" s="28"/>
      <c r="G333" s="28"/>
      <c r="H333" s="92"/>
      <c r="I333" s="92"/>
      <c r="J333" s="92"/>
      <c r="K333" s="92"/>
      <c r="L333" s="92"/>
      <c r="M333" s="92"/>
      <c r="N333" s="93"/>
      <c r="O333" s="93"/>
      <c r="P333" s="93"/>
      <c r="Q333" s="93"/>
      <c r="R333" s="94"/>
      <c r="S333" s="28"/>
      <c r="T333" s="28"/>
      <c r="U333" s="110"/>
      <c r="V333" s="126"/>
    </row>
    <row r="334" spans="6:22" s="6" customFormat="1" ht="20.100000000000001" customHeight="1" x14ac:dyDescent="0.25">
      <c r="F334" s="28"/>
      <c r="G334" s="28"/>
      <c r="H334" s="92"/>
      <c r="I334" s="92"/>
      <c r="J334" s="92"/>
      <c r="K334" s="92"/>
      <c r="L334" s="92"/>
      <c r="M334" s="92"/>
      <c r="N334" s="93"/>
      <c r="O334" s="93"/>
      <c r="P334" s="93"/>
      <c r="Q334" s="93"/>
      <c r="R334" s="94"/>
      <c r="S334" s="28"/>
      <c r="T334" s="28"/>
      <c r="U334" s="110"/>
      <c r="V334" s="126"/>
    </row>
    <row r="335" spans="6:22" s="6" customFormat="1" ht="20.100000000000001" customHeight="1" x14ac:dyDescent="0.25">
      <c r="F335" s="28"/>
      <c r="G335" s="28"/>
      <c r="H335" s="92"/>
      <c r="I335" s="92"/>
      <c r="J335" s="92"/>
      <c r="K335" s="92"/>
      <c r="L335" s="92"/>
      <c r="M335" s="92"/>
      <c r="N335" s="93"/>
      <c r="O335" s="93"/>
      <c r="P335" s="93"/>
      <c r="Q335" s="93"/>
      <c r="R335" s="94"/>
      <c r="S335" s="28"/>
      <c r="T335" s="28"/>
      <c r="U335" s="110"/>
      <c r="V335" s="126"/>
    </row>
    <row r="336" spans="6:22" s="6" customFormat="1" ht="20.100000000000001" customHeight="1" x14ac:dyDescent="0.25">
      <c r="F336" s="28"/>
      <c r="G336" s="28"/>
      <c r="H336" s="92"/>
      <c r="I336" s="92"/>
      <c r="J336" s="92"/>
      <c r="K336" s="92"/>
      <c r="L336" s="92"/>
      <c r="M336" s="92"/>
      <c r="N336" s="93"/>
      <c r="O336" s="93"/>
      <c r="P336" s="93"/>
      <c r="Q336" s="93"/>
      <c r="R336" s="94"/>
      <c r="S336" s="28"/>
      <c r="T336" s="28"/>
      <c r="U336" s="110"/>
      <c r="V336" s="126"/>
    </row>
    <row r="337" spans="6:22" s="6" customFormat="1" ht="20.100000000000001" customHeight="1" x14ac:dyDescent="0.25">
      <c r="F337" s="28"/>
      <c r="G337" s="28"/>
      <c r="H337" s="92"/>
      <c r="I337" s="92"/>
      <c r="J337" s="92"/>
      <c r="K337" s="92"/>
      <c r="L337" s="92"/>
      <c r="M337" s="92"/>
      <c r="N337" s="93"/>
      <c r="O337" s="93"/>
      <c r="P337" s="93"/>
      <c r="Q337" s="93"/>
      <c r="R337" s="94"/>
      <c r="S337" s="28"/>
      <c r="T337" s="28"/>
      <c r="U337" s="110"/>
      <c r="V337" s="126"/>
    </row>
    <row r="338" spans="6:22" s="6" customFormat="1" ht="20.100000000000001" customHeight="1" x14ac:dyDescent="0.25">
      <c r="F338" s="28"/>
      <c r="G338" s="28"/>
      <c r="H338" s="92"/>
      <c r="I338" s="92"/>
      <c r="J338" s="92"/>
      <c r="K338" s="92"/>
      <c r="L338" s="92"/>
      <c r="M338" s="92"/>
      <c r="N338" s="93"/>
      <c r="O338" s="93"/>
      <c r="P338" s="93"/>
      <c r="Q338" s="93"/>
      <c r="R338" s="94"/>
      <c r="S338" s="28"/>
      <c r="T338" s="28"/>
      <c r="U338" s="110"/>
      <c r="V338" s="126"/>
    </row>
    <row r="339" spans="6:22" s="6" customFormat="1" ht="20.100000000000001" customHeight="1" x14ac:dyDescent="0.25">
      <c r="F339" s="28"/>
      <c r="G339" s="28"/>
      <c r="H339" s="92"/>
      <c r="I339" s="92"/>
      <c r="J339" s="92"/>
      <c r="K339" s="92"/>
      <c r="L339" s="92"/>
      <c r="M339" s="92"/>
      <c r="N339" s="93"/>
      <c r="O339" s="93"/>
      <c r="P339" s="93"/>
      <c r="Q339" s="93"/>
      <c r="R339" s="94"/>
      <c r="S339" s="28"/>
      <c r="T339" s="28"/>
      <c r="U339" s="110"/>
      <c r="V339" s="126"/>
    </row>
    <row r="340" spans="6:22" s="6" customFormat="1" ht="20.100000000000001" customHeight="1" x14ac:dyDescent="0.25">
      <c r="F340" s="28"/>
      <c r="G340" s="28"/>
      <c r="H340" s="92"/>
      <c r="I340" s="92"/>
      <c r="J340" s="92"/>
      <c r="K340" s="92"/>
      <c r="L340" s="92"/>
      <c r="M340" s="92"/>
      <c r="N340" s="93"/>
      <c r="O340" s="93"/>
      <c r="P340" s="93"/>
      <c r="Q340" s="93"/>
      <c r="R340" s="94"/>
      <c r="S340" s="28"/>
      <c r="T340" s="28"/>
      <c r="U340" s="110"/>
      <c r="V340" s="126"/>
    </row>
    <row r="341" spans="6:22" s="6" customFormat="1" ht="20.100000000000001" customHeight="1" x14ac:dyDescent="0.25">
      <c r="F341" s="28"/>
      <c r="G341" s="28"/>
      <c r="H341" s="92"/>
      <c r="I341" s="92"/>
      <c r="J341" s="92"/>
      <c r="K341" s="92"/>
      <c r="L341" s="92"/>
      <c r="M341" s="92"/>
      <c r="N341" s="93"/>
      <c r="O341" s="93"/>
      <c r="P341" s="93"/>
      <c r="Q341" s="93"/>
      <c r="R341" s="94"/>
      <c r="S341" s="28"/>
      <c r="T341" s="28"/>
      <c r="U341" s="110"/>
      <c r="V341" s="126"/>
    </row>
    <row r="342" spans="6:22" s="6" customFormat="1" ht="20.100000000000001" customHeight="1" x14ac:dyDescent="0.25">
      <c r="F342" s="28"/>
      <c r="G342" s="28"/>
      <c r="H342" s="92"/>
      <c r="I342" s="92"/>
      <c r="J342" s="92"/>
      <c r="K342" s="92"/>
      <c r="L342" s="92"/>
      <c r="M342" s="92"/>
      <c r="N342" s="93"/>
      <c r="O342" s="93"/>
      <c r="P342" s="93"/>
      <c r="Q342" s="93"/>
      <c r="R342" s="94"/>
      <c r="S342" s="28"/>
      <c r="T342" s="28"/>
      <c r="U342" s="110"/>
      <c r="V342" s="126"/>
    </row>
    <row r="343" spans="6:22" s="6" customFormat="1" ht="20.100000000000001" customHeight="1" x14ac:dyDescent="0.25">
      <c r="F343" s="28"/>
      <c r="G343" s="28"/>
      <c r="H343" s="92"/>
      <c r="I343" s="92"/>
      <c r="J343" s="92"/>
      <c r="K343" s="92"/>
      <c r="L343" s="92"/>
      <c r="M343" s="92"/>
      <c r="N343" s="93"/>
      <c r="O343" s="93"/>
      <c r="P343" s="93"/>
      <c r="Q343" s="93"/>
      <c r="R343" s="94"/>
      <c r="S343" s="28"/>
      <c r="T343" s="28"/>
      <c r="U343" s="110"/>
      <c r="V343" s="126"/>
    </row>
    <row r="344" spans="6:22" s="6" customFormat="1" ht="20.100000000000001" customHeight="1" x14ac:dyDescent="0.25">
      <c r="F344" s="28"/>
      <c r="G344" s="28"/>
      <c r="H344" s="92"/>
      <c r="I344" s="92"/>
      <c r="J344" s="92"/>
      <c r="K344" s="92"/>
      <c r="L344" s="92"/>
      <c r="M344" s="92"/>
      <c r="N344" s="93"/>
      <c r="O344" s="93"/>
      <c r="P344" s="93"/>
      <c r="Q344" s="93"/>
      <c r="R344" s="94"/>
      <c r="S344" s="28"/>
      <c r="T344" s="28"/>
      <c r="U344" s="110"/>
      <c r="V344" s="126"/>
    </row>
    <row r="345" spans="6:22" s="6" customFormat="1" ht="20.100000000000001" customHeight="1" x14ac:dyDescent="0.25">
      <c r="F345" s="28"/>
      <c r="G345" s="28"/>
      <c r="H345" s="92"/>
      <c r="I345" s="92"/>
      <c r="J345" s="92"/>
      <c r="K345" s="92"/>
      <c r="L345" s="92"/>
      <c r="M345" s="92"/>
      <c r="N345" s="93"/>
      <c r="O345" s="93"/>
      <c r="P345" s="93"/>
      <c r="Q345" s="93"/>
      <c r="R345" s="94"/>
      <c r="S345" s="28"/>
      <c r="T345" s="28"/>
      <c r="U345" s="110"/>
      <c r="V345" s="126"/>
    </row>
    <row r="346" spans="6:22" s="6" customFormat="1" ht="20.100000000000001" customHeight="1" x14ac:dyDescent="0.25">
      <c r="F346" s="28"/>
      <c r="G346" s="28"/>
      <c r="H346" s="92"/>
      <c r="I346" s="92"/>
      <c r="J346" s="92"/>
      <c r="K346" s="92"/>
      <c r="L346" s="92"/>
      <c r="M346" s="92"/>
      <c r="N346" s="93"/>
      <c r="O346" s="93"/>
      <c r="P346" s="93"/>
      <c r="Q346" s="93"/>
      <c r="R346" s="94"/>
      <c r="S346" s="28"/>
      <c r="T346" s="28"/>
      <c r="U346" s="110"/>
      <c r="V346" s="126"/>
    </row>
    <row r="347" spans="6:22" s="6" customFormat="1" ht="20.100000000000001" customHeight="1" x14ac:dyDescent="0.25">
      <c r="F347" s="28"/>
      <c r="G347" s="28"/>
      <c r="H347" s="92"/>
      <c r="I347" s="92"/>
      <c r="J347" s="92"/>
      <c r="K347" s="92"/>
      <c r="L347" s="92"/>
      <c r="M347" s="92"/>
      <c r="N347" s="93"/>
      <c r="O347" s="93"/>
      <c r="P347" s="93"/>
      <c r="Q347" s="93"/>
      <c r="R347" s="94"/>
      <c r="S347" s="28"/>
      <c r="T347" s="28"/>
      <c r="U347" s="110"/>
      <c r="V347" s="126"/>
    </row>
    <row r="348" spans="6:22" s="6" customFormat="1" ht="20.100000000000001" customHeight="1" x14ac:dyDescent="0.25">
      <c r="F348" s="28"/>
      <c r="G348" s="28"/>
      <c r="H348" s="92"/>
      <c r="I348" s="92"/>
      <c r="J348" s="92"/>
      <c r="K348" s="92"/>
      <c r="L348" s="92"/>
      <c r="M348" s="92"/>
      <c r="N348" s="93"/>
      <c r="O348" s="93"/>
      <c r="P348" s="93"/>
      <c r="Q348" s="93"/>
      <c r="R348" s="94"/>
      <c r="S348" s="28"/>
      <c r="T348" s="28"/>
      <c r="U348" s="110"/>
      <c r="V348" s="126"/>
    </row>
    <row r="349" spans="6:22" s="6" customFormat="1" ht="20.100000000000001" customHeight="1" x14ac:dyDescent="0.25">
      <c r="F349" s="28"/>
      <c r="G349" s="28"/>
      <c r="H349" s="92"/>
      <c r="I349" s="92"/>
      <c r="J349" s="92"/>
      <c r="K349" s="92"/>
      <c r="L349" s="92"/>
      <c r="M349" s="92"/>
      <c r="N349" s="93"/>
      <c r="O349" s="93"/>
      <c r="P349" s="93"/>
      <c r="Q349" s="93"/>
      <c r="R349" s="94"/>
      <c r="S349" s="28"/>
      <c r="T349" s="28"/>
      <c r="U349" s="110"/>
      <c r="V349" s="126"/>
    </row>
    <row r="350" spans="6:22" s="6" customFormat="1" ht="20.100000000000001" customHeight="1" x14ac:dyDescent="0.25">
      <c r="F350" s="28"/>
      <c r="G350" s="28"/>
      <c r="H350" s="92"/>
      <c r="I350" s="92"/>
      <c r="J350" s="92"/>
      <c r="K350" s="92"/>
      <c r="L350" s="92"/>
      <c r="M350" s="92"/>
      <c r="N350" s="93"/>
      <c r="O350" s="93"/>
      <c r="P350" s="93"/>
      <c r="Q350" s="93"/>
      <c r="R350" s="94"/>
      <c r="S350" s="28"/>
      <c r="T350" s="28"/>
      <c r="U350" s="110"/>
      <c r="V350" s="126"/>
    </row>
    <row r="351" spans="6:22" s="6" customFormat="1" ht="20.100000000000001" customHeight="1" x14ac:dyDescent="0.25">
      <c r="F351" s="28"/>
      <c r="G351" s="28"/>
      <c r="H351" s="92"/>
      <c r="I351" s="92"/>
      <c r="J351" s="92"/>
      <c r="K351" s="92"/>
      <c r="L351" s="92"/>
      <c r="M351" s="92"/>
      <c r="N351" s="93"/>
      <c r="O351" s="93"/>
      <c r="P351" s="93"/>
      <c r="Q351" s="93"/>
      <c r="R351" s="94"/>
      <c r="S351" s="28"/>
      <c r="T351" s="28"/>
      <c r="U351" s="110"/>
      <c r="V351" s="126"/>
    </row>
    <row r="352" spans="6:22" s="6" customFormat="1" ht="20.100000000000001" customHeight="1" x14ac:dyDescent="0.25">
      <c r="F352" s="28"/>
      <c r="G352" s="28"/>
      <c r="H352" s="92"/>
      <c r="I352" s="92"/>
      <c r="J352" s="92"/>
      <c r="K352" s="92"/>
      <c r="L352" s="92"/>
      <c r="M352" s="92"/>
      <c r="N352" s="93"/>
      <c r="O352" s="93"/>
      <c r="P352" s="93"/>
      <c r="Q352" s="93"/>
      <c r="R352" s="94"/>
      <c r="S352" s="28"/>
      <c r="T352" s="28"/>
      <c r="U352" s="110"/>
      <c r="V352" s="126"/>
    </row>
    <row r="353" spans="6:22" s="6" customFormat="1" ht="20.100000000000001" customHeight="1" x14ac:dyDescent="0.25">
      <c r="F353" s="28"/>
      <c r="G353" s="28"/>
      <c r="H353" s="92"/>
      <c r="I353" s="92"/>
      <c r="J353" s="92"/>
      <c r="K353" s="92"/>
      <c r="L353" s="92"/>
      <c r="M353" s="92"/>
      <c r="N353" s="93"/>
      <c r="O353" s="93"/>
      <c r="P353" s="93"/>
      <c r="Q353" s="93"/>
      <c r="R353" s="94"/>
      <c r="S353" s="28"/>
      <c r="T353" s="28"/>
      <c r="U353" s="110"/>
      <c r="V353" s="126"/>
    </row>
    <row r="354" spans="6:22" s="6" customFormat="1" ht="20.100000000000001" customHeight="1" x14ac:dyDescent="0.25">
      <c r="F354" s="28"/>
      <c r="G354" s="28"/>
      <c r="H354" s="92"/>
      <c r="I354" s="92"/>
      <c r="J354" s="92"/>
      <c r="K354" s="92"/>
      <c r="L354" s="92"/>
      <c r="M354" s="92"/>
      <c r="N354" s="93"/>
      <c r="O354" s="93"/>
      <c r="P354" s="93"/>
      <c r="Q354" s="93"/>
      <c r="R354" s="94"/>
      <c r="S354" s="28"/>
      <c r="T354" s="28"/>
      <c r="U354" s="110"/>
      <c r="V354" s="126"/>
    </row>
    <row r="355" spans="6:22" s="6" customFormat="1" ht="20.100000000000001" customHeight="1" x14ac:dyDescent="0.25">
      <c r="F355" s="28"/>
      <c r="G355" s="28"/>
      <c r="H355" s="92"/>
      <c r="I355" s="92"/>
      <c r="J355" s="92"/>
      <c r="K355" s="92"/>
      <c r="L355" s="92"/>
      <c r="M355" s="92"/>
      <c r="N355" s="93"/>
      <c r="O355" s="93"/>
      <c r="P355" s="93"/>
      <c r="Q355" s="93"/>
      <c r="R355" s="94"/>
      <c r="S355" s="28"/>
      <c r="T355" s="28"/>
      <c r="U355" s="110"/>
      <c r="V355" s="126"/>
    </row>
    <row r="356" spans="6:22" s="6" customFormat="1" ht="20.100000000000001" customHeight="1" x14ac:dyDescent="0.25">
      <c r="F356" s="28"/>
      <c r="G356" s="28"/>
      <c r="H356" s="92"/>
      <c r="I356" s="92"/>
      <c r="J356" s="92"/>
      <c r="K356" s="92"/>
      <c r="L356" s="92"/>
      <c r="M356" s="92"/>
      <c r="N356" s="93"/>
      <c r="O356" s="93"/>
      <c r="P356" s="93"/>
      <c r="Q356" s="93"/>
      <c r="R356" s="94"/>
      <c r="S356" s="28"/>
      <c r="T356" s="28"/>
      <c r="U356" s="110"/>
      <c r="V356" s="126"/>
    </row>
    <row r="357" spans="6:22" s="6" customFormat="1" ht="20.100000000000001" customHeight="1" x14ac:dyDescent="0.25">
      <c r="F357" s="28"/>
      <c r="G357" s="28"/>
      <c r="H357" s="92"/>
      <c r="I357" s="92"/>
      <c r="J357" s="92"/>
      <c r="K357" s="92"/>
      <c r="L357" s="92"/>
      <c r="M357" s="92"/>
      <c r="N357" s="93"/>
      <c r="O357" s="93"/>
      <c r="P357" s="93"/>
      <c r="Q357" s="93"/>
      <c r="R357" s="94"/>
      <c r="S357" s="28"/>
      <c r="T357" s="28"/>
      <c r="U357" s="110"/>
      <c r="V357" s="126"/>
    </row>
    <row r="358" spans="6:22" s="6" customFormat="1" ht="20.100000000000001" customHeight="1" x14ac:dyDescent="0.25">
      <c r="F358" s="28"/>
      <c r="G358" s="28"/>
      <c r="H358" s="92"/>
      <c r="I358" s="92"/>
      <c r="J358" s="92"/>
      <c r="K358" s="92"/>
      <c r="L358" s="92"/>
      <c r="M358" s="92"/>
      <c r="N358" s="93"/>
      <c r="O358" s="93"/>
      <c r="P358" s="93"/>
      <c r="Q358" s="93"/>
      <c r="R358" s="94"/>
      <c r="S358" s="28"/>
      <c r="T358" s="28"/>
      <c r="U358" s="110"/>
      <c r="V358" s="126"/>
    </row>
    <row r="359" spans="6:22" s="6" customFormat="1" ht="20.100000000000001" customHeight="1" x14ac:dyDescent="0.25">
      <c r="F359" s="28"/>
      <c r="G359" s="28"/>
      <c r="H359" s="92"/>
      <c r="I359" s="92"/>
      <c r="J359" s="92"/>
      <c r="K359" s="92"/>
      <c r="L359" s="92"/>
      <c r="M359" s="92"/>
      <c r="N359" s="93"/>
      <c r="O359" s="93"/>
      <c r="P359" s="93"/>
      <c r="Q359" s="93"/>
      <c r="R359" s="94"/>
      <c r="S359" s="28"/>
      <c r="T359" s="28"/>
      <c r="U359" s="110"/>
      <c r="V359" s="126"/>
    </row>
    <row r="360" spans="6:22" s="6" customFormat="1" ht="20.100000000000001" customHeight="1" x14ac:dyDescent="0.25">
      <c r="F360" s="28"/>
      <c r="G360" s="28"/>
      <c r="H360" s="92"/>
      <c r="I360" s="92"/>
      <c r="J360" s="92"/>
      <c r="K360" s="92"/>
      <c r="L360" s="92"/>
      <c r="M360" s="92"/>
      <c r="N360" s="93"/>
      <c r="O360" s="93"/>
      <c r="P360" s="93"/>
      <c r="Q360" s="93"/>
      <c r="R360" s="94"/>
      <c r="S360" s="28"/>
      <c r="T360" s="28"/>
      <c r="U360" s="110"/>
      <c r="V360" s="126"/>
    </row>
    <row r="361" spans="6:22" s="6" customFormat="1" ht="20.100000000000001" customHeight="1" x14ac:dyDescent="0.25">
      <c r="F361" s="28"/>
      <c r="G361" s="28"/>
      <c r="H361" s="92"/>
      <c r="I361" s="92"/>
      <c r="J361" s="92"/>
      <c r="K361" s="92"/>
      <c r="L361" s="92"/>
      <c r="M361" s="92"/>
      <c r="N361" s="93"/>
      <c r="O361" s="93"/>
      <c r="P361" s="93"/>
      <c r="Q361" s="93"/>
      <c r="R361" s="94"/>
      <c r="S361" s="28"/>
      <c r="T361" s="28"/>
      <c r="U361" s="110"/>
      <c r="V361" s="126"/>
    </row>
    <row r="362" spans="6:22" s="6" customFormat="1" ht="20.100000000000001" customHeight="1" x14ac:dyDescent="0.25">
      <c r="F362" s="28"/>
      <c r="G362" s="28"/>
      <c r="H362" s="92"/>
      <c r="I362" s="92"/>
      <c r="J362" s="92"/>
      <c r="K362" s="92"/>
      <c r="L362" s="92"/>
      <c r="M362" s="92"/>
      <c r="N362" s="93"/>
      <c r="O362" s="93"/>
      <c r="P362" s="93"/>
      <c r="Q362" s="93"/>
      <c r="R362" s="94"/>
      <c r="S362" s="28"/>
      <c r="T362" s="28"/>
      <c r="U362" s="110"/>
      <c r="V362" s="126"/>
    </row>
    <row r="363" spans="6:22" s="6" customFormat="1" ht="20.100000000000001" customHeight="1" x14ac:dyDescent="0.25">
      <c r="F363" s="28"/>
      <c r="G363" s="28"/>
      <c r="H363" s="92"/>
      <c r="I363" s="92"/>
      <c r="J363" s="92"/>
      <c r="K363" s="92"/>
      <c r="L363" s="92"/>
      <c r="M363" s="92"/>
      <c r="N363" s="93"/>
      <c r="O363" s="93"/>
      <c r="P363" s="93"/>
      <c r="Q363" s="93"/>
      <c r="R363" s="94"/>
      <c r="S363" s="28"/>
      <c r="T363" s="28"/>
      <c r="U363" s="110"/>
      <c r="V363" s="126"/>
    </row>
    <row r="364" spans="6:22" s="6" customFormat="1" ht="20.100000000000001" customHeight="1" x14ac:dyDescent="0.25">
      <c r="F364" s="28"/>
      <c r="G364" s="28"/>
      <c r="H364" s="92"/>
      <c r="I364" s="92"/>
      <c r="J364" s="92"/>
      <c r="K364" s="92"/>
      <c r="L364" s="92"/>
      <c r="M364" s="92"/>
      <c r="N364" s="93"/>
      <c r="O364" s="93"/>
      <c r="P364" s="93"/>
      <c r="Q364" s="93"/>
      <c r="R364" s="94"/>
      <c r="S364" s="28"/>
      <c r="T364" s="28"/>
      <c r="U364" s="110"/>
      <c r="V364" s="126"/>
    </row>
    <row r="365" spans="6:22" s="6" customFormat="1" ht="20.100000000000001" customHeight="1" x14ac:dyDescent="0.25">
      <c r="F365" s="28"/>
      <c r="G365" s="28"/>
      <c r="H365" s="92"/>
      <c r="I365" s="92"/>
      <c r="J365" s="92"/>
      <c r="K365" s="92"/>
      <c r="L365" s="92"/>
      <c r="M365" s="92"/>
      <c r="N365" s="93"/>
      <c r="O365" s="93"/>
      <c r="P365" s="93"/>
      <c r="Q365" s="93"/>
      <c r="R365" s="94"/>
      <c r="S365" s="28"/>
      <c r="T365" s="28"/>
      <c r="U365" s="110"/>
      <c r="V365" s="126"/>
    </row>
    <row r="366" spans="6:22" s="6" customFormat="1" ht="20.100000000000001" customHeight="1" x14ac:dyDescent="0.25">
      <c r="F366" s="28"/>
      <c r="G366" s="28"/>
      <c r="H366" s="92"/>
      <c r="I366" s="92"/>
      <c r="J366" s="92"/>
      <c r="K366" s="92"/>
      <c r="L366" s="92"/>
      <c r="M366" s="92"/>
      <c r="N366" s="93"/>
      <c r="O366" s="93"/>
      <c r="P366" s="93"/>
      <c r="Q366" s="93"/>
      <c r="R366" s="94"/>
      <c r="S366" s="28"/>
      <c r="T366" s="28"/>
      <c r="U366" s="110"/>
      <c r="V366" s="126"/>
    </row>
    <row r="367" spans="6:22" s="6" customFormat="1" ht="20.100000000000001" customHeight="1" x14ac:dyDescent="0.25">
      <c r="F367" s="28"/>
      <c r="G367" s="28"/>
      <c r="H367" s="92"/>
      <c r="I367" s="92"/>
      <c r="J367" s="92"/>
      <c r="K367" s="92"/>
      <c r="L367" s="92"/>
      <c r="M367" s="92"/>
      <c r="N367" s="93"/>
      <c r="O367" s="93"/>
      <c r="P367" s="93"/>
      <c r="Q367" s="93"/>
      <c r="R367" s="94"/>
      <c r="S367" s="28"/>
      <c r="T367" s="28"/>
      <c r="U367" s="110"/>
      <c r="V367" s="126"/>
    </row>
    <row r="368" spans="6:22" s="6" customFormat="1" ht="20.100000000000001" customHeight="1" x14ac:dyDescent="0.25">
      <c r="F368" s="28"/>
      <c r="G368" s="28"/>
      <c r="H368" s="92"/>
      <c r="I368" s="92"/>
      <c r="J368" s="92"/>
      <c r="K368" s="92"/>
      <c r="L368" s="92"/>
      <c r="M368" s="92"/>
      <c r="N368" s="93"/>
      <c r="O368" s="93"/>
      <c r="P368" s="93"/>
      <c r="Q368" s="93"/>
      <c r="R368" s="94"/>
      <c r="S368" s="28"/>
      <c r="T368" s="28"/>
      <c r="U368" s="110"/>
      <c r="V368" s="126"/>
    </row>
    <row r="369" spans="6:22" s="6" customFormat="1" ht="20.100000000000001" customHeight="1" x14ac:dyDescent="0.25">
      <c r="F369" s="28"/>
      <c r="G369" s="28"/>
      <c r="H369" s="92"/>
      <c r="I369" s="92"/>
      <c r="J369" s="92"/>
      <c r="K369" s="92"/>
      <c r="L369" s="92"/>
      <c r="M369" s="92"/>
      <c r="N369" s="93"/>
      <c r="O369" s="93"/>
      <c r="P369" s="93"/>
      <c r="Q369" s="93"/>
      <c r="R369" s="94"/>
      <c r="S369" s="28"/>
      <c r="T369" s="28"/>
      <c r="U369" s="110"/>
      <c r="V369" s="126"/>
    </row>
    <row r="370" spans="6:22" s="6" customFormat="1" ht="20.100000000000001" customHeight="1" x14ac:dyDescent="0.25">
      <c r="F370" s="28"/>
      <c r="G370" s="28"/>
      <c r="H370" s="92"/>
      <c r="I370" s="92"/>
      <c r="J370" s="92"/>
      <c r="K370" s="92"/>
      <c r="L370" s="92"/>
      <c r="M370" s="92"/>
      <c r="N370" s="93"/>
      <c r="O370" s="93"/>
      <c r="P370" s="93"/>
      <c r="Q370" s="93"/>
      <c r="R370" s="94"/>
      <c r="S370" s="28"/>
      <c r="T370" s="28"/>
      <c r="U370" s="110"/>
      <c r="V370" s="126"/>
    </row>
    <row r="371" spans="6:22" s="6" customFormat="1" ht="20.100000000000001" customHeight="1" x14ac:dyDescent="0.25">
      <c r="F371" s="28"/>
      <c r="G371" s="28"/>
      <c r="H371" s="92"/>
      <c r="I371" s="92"/>
      <c r="J371" s="92"/>
      <c r="K371" s="92"/>
      <c r="L371" s="92"/>
      <c r="M371" s="92"/>
      <c r="N371" s="93"/>
      <c r="O371" s="93"/>
      <c r="P371" s="93"/>
      <c r="Q371" s="93"/>
      <c r="R371" s="94"/>
      <c r="S371" s="28"/>
      <c r="T371" s="28"/>
      <c r="U371" s="110"/>
      <c r="V371" s="126"/>
    </row>
    <row r="372" spans="6:22" s="6" customFormat="1" ht="20.100000000000001" customHeight="1" x14ac:dyDescent="0.25">
      <c r="F372" s="28"/>
      <c r="G372" s="28"/>
      <c r="H372" s="92"/>
      <c r="I372" s="92"/>
      <c r="J372" s="92"/>
      <c r="K372" s="92"/>
      <c r="L372" s="92"/>
      <c r="M372" s="92"/>
      <c r="N372" s="93"/>
      <c r="O372" s="93"/>
      <c r="P372" s="93"/>
      <c r="Q372" s="93"/>
      <c r="R372" s="94"/>
      <c r="S372" s="28"/>
      <c r="T372" s="28"/>
      <c r="U372" s="110"/>
      <c r="V372" s="126"/>
    </row>
    <row r="373" spans="6:22" s="6" customFormat="1" ht="20.100000000000001" customHeight="1" x14ac:dyDescent="0.25">
      <c r="F373" s="28"/>
      <c r="G373" s="28"/>
      <c r="H373" s="92"/>
      <c r="I373" s="92"/>
      <c r="J373" s="92"/>
      <c r="K373" s="92"/>
      <c r="L373" s="92"/>
      <c r="M373" s="92"/>
      <c r="N373" s="93"/>
      <c r="O373" s="93"/>
      <c r="P373" s="93"/>
      <c r="Q373" s="93"/>
      <c r="R373" s="94"/>
      <c r="S373" s="28"/>
      <c r="T373" s="28"/>
      <c r="U373" s="110"/>
      <c r="V373" s="126"/>
    </row>
    <row r="374" spans="6:22" s="6" customFormat="1" ht="20.100000000000001" customHeight="1" x14ac:dyDescent="0.25">
      <c r="F374" s="28"/>
      <c r="G374" s="28"/>
      <c r="H374" s="92"/>
      <c r="I374" s="92"/>
      <c r="J374" s="92"/>
      <c r="K374" s="92"/>
      <c r="L374" s="92"/>
      <c r="M374" s="92"/>
      <c r="N374" s="93"/>
      <c r="O374" s="93"/>
      <c r="P374" s="93"/>
      <c r="Q374" s="93"/>
      <c r="R374" s="94"/>
      <c r="S374" s="28"/>
      <c r="T374" s="28"/>
      <c r="U374" s="110"/>
      <c r="V374" s="126"/>
    </row>
    <row r="375" spans="6:22" s="6" customFormat="1" ht="20.100000000000001" customHeight="1" x14ac:dyDescent="0.25">
      <c r="F375" s="28"/>
      <c r="G375" s="28"/>
      <c r="H375" s="92"/>
      <c r="I375" s="92"/>
      <c r="J375" s="92"/>
      <c r="K375" s="92"/>
      <c r="L375" s="92"/>
      <c r="M375" s="92"/>
      <c r="N375" s="93"/>
      <c r="O375" s="93"/>
      <c r="P375" s="93"/>
      <c r="Q375" s="93"/>
      <c r="R375" s="94"/>
      <c r="S375" s="28"/>
      <c r="T375" s="28"/>
      <c r="U375" s="110"/>
      <c r="V375" s="126"/>
    </row>
    <row r="376" spans="6:22" s="6" customFormat="1" ht="20.100000000000001" customHeight="1" x14ac:dyDescent="0.25">
      <c r="F376" s="28"/>
      <c r="G376" s="28"/>
      <c r="H376" s="92"/>
      <c r="I376" s="92"/>
      <c r="J376" s="92"/>
      <c r="K376" s="92"/>
      <c r="L376" s="92"/>
      <c r="M376" s="92"/>
      <c r="N376" s="93"/>
      <c r="O376" s="93"/>
      <c r="P376" s="93"/>
      <c r="Q376" s="93"/>
      <c r="R376" s="94"/>
      <c r="S376" s="28"/>
      <c r="T376" s="28"/>
      <c r="U376" s="110"/>
      <c r="V376" s="126"/>
    </row>
    <row r="377" spans="6:22" s="6" customFormat="1" ht="20.100000000000001" customHeight="1" x14ac:dyDescent="0.25">
      <c r="F377" s="28"/>
      <c r="G377" s="28"/>
      <c r="H377" s="92"/>
      <c r="I377" s="92"/>
      <c r="J377" s="92"/>
      <c r="K377" s="92"/>
      <c r="L377" s="92"/>
      <c r="M377" s="92"/>
      <c r="N377" s="93"/>
      <c r="O377" s="93"/>
      <c r="P377" s="93"/>
      <c r="Q377" s="93"/>
      <c r="R377" s="94"/>
      <c r="S377" s="28"/>
      <c r="T377" s="28"/>
      <c r="U377" s="110"/>
      <c r="V377" s="126"/>
    </row>
    <row r="378" spans="6:22" s="6" customFormat="1" ht="20.100000000000001" customHeight="1" x14ac:dyDescent="0.25">
      <c r="F378" s="28"/>
      <c r="G378" s="28"/>
      <c r="H378" s="92"/>
      <c r="I378" s="92"/>
      <c r="J378" s="92"/>
      <c r="K378" s="92"/>
      <c r="L378" s="92"/>
      <c r="M378" s="92"/>
      <c r="N378" s="93"/>
      <c r="O378" s="93"/>
      <c r="P378" s="93"/>
      <c r="Q378" s="93"/>
      <c r="R378" s="94"/>
      <c r="S378" s="28"/>
      <c r="T378" s="28"/>
      <c r="U378" s="110"/>
      <c r="V378" s="126"/>
    </row>
    <row r="379" spans="6:22" s="6" customFormat="1" ht="20.100000000000001" customHeight="1" x14ac:dyDescent="0.25">
      <c r="F379" s="28"/>
      <c r="G379" s="28"/>
      <c r="H379" s="92"/>
      <c r="I379" s="92"/>
      <c r="J379" s="92"/>
      <c r="K379" s="92"/>
      <c r="L379" s="92"/>
      <c r="M379" s="92"/>
      <c r="N379" s="93"/>
      <c r="O379" s="93"/>
      <c r="P379" s="93"/>
      <c r="Q379" s="93"/>
      <c r="R379" s="94"/>
      <c r="S379" s="28"/>
      <c r="T379" s="28"/>
      <c r="U379" s="110"/>
      <c r="V379" s="126"/>
    </row>
    <row r="380" spans="6:22" s="6" customFormat="1" ht="20.100000000000001" customHeight="1" x14ac:dyDescent="0.25">
      <c r="F380" s="28"/>
      <c r="G380" s="28"/>
      <c r="H380" s="92"/>
      <c r="I380" s="92"/>
      <c r="J380" s="92"/>
      <c r="K380" s="92"/>
      <c r="L380" s="92"/>
      <c r="M380" s="92"/>
      <c r="N380" s="93"/>
      <c r="O380" s="93"/>
      <c r="P380" s="93"/>
      <c r="Q380" s="93"/>
      <c r="R380" s="94"/>
      <c r="S380" s="28"/>
      <c r="T380" s="28"/>
      <c r="U380" s="110"/>
      <c r="V380" s="126"/>
    </row>
    <row r="381" spans="6:22" s="6" customFormat="1" ht="20.100000000000001" customHeight="1" x14ac:dyDescent="0.25">
      <c r="F381" s="28"/>
      <c r="G381" s="28"/>
      <c r="H381" s="92"/>
      <c r="I381" s="92"/>
      <c r="J381" s="92"/>
      <c r="K381" s="92"/>
      <c r="L381" s="92"/>
      <c r="M381" s="92"/>
      <c r="N381" s="93"/>
      <c r="O381" s="93"/>
      <c r="P381" s="93"/>
      <c r="Q381" s="93"/>
      <c r="R381" s="94"/>
      <c r="S381" s="28"/>
      <c r="T381" s="28"/>
      <c r="U381" s="110"/>
      <c r="V381" s="126"/>
    </row>
    <row r="382" spans="6:22" s="6" customFormat="1" ht="20.100000000000001" customHeight="1" x14ac:dyDescent="0.25">
      <c r="F382" s="28"/>
      <c r="G382" s="28"/>
      <c r="H382" s="92"/>
      <c r="I382" s="92"/>
      <c r="J382" s="92"/>
      <c r="K382" s="92"/>
      <c r="L382" s="92"/>
      <c r="M382" s="92"/>
      <c r="N382" s="93"/>
      <c r="O382" s="93"/>
      <c r="P382" s="93"/>
      <c r="Q382" s="93"/>
      <c r="R382" s="94"/>
      <c r="S382" s="28"/>
      <c r="T382" s="28"/>
      <c r="U382" s="110"/>
      <c r="V382" s="126"/>
    </row>
    <row r="383" spans="6:22" s="6" customFormat="1" ht="20.100000000000001" customHeight="1" x14ac:dyDescent="0.25">
      <c r="F383" s="28"/>
      <c r="G383" s="28"/>
      <c r="H383" s="92"/>
      <c r="I383" s="92"/>
      <c r="J383" s="92"/>
      <c r="K383" s="92"/>
      <c r="L383" s="92"/>
      <c r="M383" s="92"/>
      <c r="N383" s="93"/>
      <c r="O383" s="93"/>
      <c r="P383" s="93"/>
      <c r="Q383" s="93"/>
      <c r="R383" s="94"/>
      <c r="S383" s="28"/>
      <c r="T383" s="28"/>
      <c r="U383" s="110"/>
      <c r="V383" s="126"/>
    </row>
    <row r="384" spans="6:22" s="6" customFormat="1" ht="20.100000000000001" customHeight="1" x14ac:dyDescent="0.25">
      <c r="F384" s="28"/>
      <c r="G384" s="28"/>
      <c r="H384" s="92"/>
      <c r="I384" s="92"/>
      <c r="J384" s="92"/>
      <c r="K384" s="92"/>
      <c r="L384" s="92"/>
      <c r="M384" s="92"/>
      <c r="N384" s="93"/>
      <c r="O384" s="93"/>
      <c r="P384" s="93"/>
      <c r="Q384" s="93"/>
      <c r="R384" s="94"/>
      <c r="S384" s="28"/>
      <c r="T384" s="28"/>
      <c r="U384" s="110"/>
      <c r="V384" s="126"/>
    </row>
    <row r="385" spans="6:22" s="6" customFormat="1" ht="20.100000000000001" customHeight="1" x14ac:dyDescent="0.25">
      <c r="F385" s="28"/>
      <c r="G385" s="28"/>
      <c r="H385" s="92"/>
      <c r="I385" s="92"/>
      <c r="J385" s="92"/>
      <c r="K385" s="92"/>
      <c r="L385" s="92"/>
      <c r="M385" s="92"/>
      <c r="N385" s="93"/>
      <c r="O385" s="93"/>
      <c r="P385" s="93"/>
      <c r="Q385" s="93"/>
      <c r="R385" s="94"/>
      <c r="S385" s="28"/>
      <c r="T385" s="28"/>
      <c r="U385" s="110"/>
      <c r="V385" s="126"/>
    </row>
    <row r="386" spans="6:22" s="6" customFormat="1" ht="20.100000000000001" customHeight="1" x14ac:dyDescent="0.25">
      <c r="F386" s="28"/>
      <c r="G386" s="28"/>
      <c r="H386" s="92"/>
      <c r="I386" s="92"/>
      <c r="J386" s="92"/>
      <c r="K386" s="92"/>
      <c r="L386" s="92"/>
      <c r="M386" s="92"/>
      <c r="N386" s="93"/>
      <c r="O386" s="93"/>
      <c r="P386" s="93"/>
      <c r="Q386" s="93"/>
      <c r="R386" s="94"/>
      <c r="S386" s="28"/>
      <c r="T386" s="28"/>
      <c r="U386" s="110"/>
      <c r="V386" s="126"/>
    </row>
    <row r="387" spans="6:22" s="6" customFormat="1" ht="20.100000000000001" customHeight="1" x14ac:dyDescent="0.25">
      <c r="F387" s="28"/>
      <c r="G387" s="28"/>
      <c r="H387" s="92"/>
      <c r="I387" s="92"/>
      <c r="J387" s="92"/>
      <c r="K387" s="92"/>
      <c r="L387" s="92"/>
      <c r="M387" s="92"/>
      <c r="N387" s="93"/>
      <c r="O387" s="93"/>
      <c r="P387" s="93"/>
      <c r="Q387" s="93"/>
      <c r="R387" s="94"/>
      <c r="S387" s="28"/>
      <c r="T387" s="28"/>
      <c r="U387" s="110"/>
      <c r="V387" s="126"/>
    </row>
  </sheetData>
  <mergeCells count="3">
    <mergeCell ref="A6:V6"/>
    <mergeCell ref="A7:Q7"/>
    <mergeCell ref="A25:E25"/>
  </mergeCells>
  <pageMargins left="0.19685039370078741" right="0.15748031496062992" top="0.15748031496062992" bottom="0.15748031496062992" header="0.31496062992125984" footer="0.31496062992125984"/>
  <pageSetup paperSize="9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52"/>
  <sheetViews>
    <sheetView tabSelected="1" workbookViewId="0">
      <selection activeCell="D10" sqref="D10"/>
    </sheetView>
  </sheetViews>
  <sheetFormatPr defaultRowHeight="15" x14ac:dyDescent="0.25"/>
  <cols>
    <col min="1" max="1" width="4" style="6" customWidth="1"/>
    <col min="2" max="2" width="7.140625" style="6" customWidth="1"/>
    <col min="3" max="3" width="15.7109375" style="6" customWidth="1"/>
    <col min="4" max="5" width="13.85546875" customWidth="1"/>
    <col min="6" max="6" width="14.42578125" customWidth="1"/>
    <col min="7" max="7" width="14" customWidth="1"/>
    <col min="8" max="8" width="16.140625" customWidth="1"/>
  </cols>
  <sheetData>
    <row r="1" spans="1:16" ht="15" customHeight="1" x14ac:dyDescent="0.25">
      <c r="A1" s="27"/>
      <c r="D1" s="140" t="s">
        <v>32</v>
      </c>
    </row>
    <row r="2" spans="1:16" ht="15" customHeight="1" x14ac:dyDescent="0.25">
      <c r="A2" s="27"/>
      <c r="D2" s="140" t="s">
        <v>2</v>
      </c>
    </row>
    <row r="3" spans="1:16" ht="15" customHeight="1" x14ac:dyDescent="0.25">
      <c r="A3" s="135" t="s">
        <v>23</v>
      </c>
      <c r="B3" s="28"/>
    </row>
    <row r="4" spans="1:16" ht="15" customHeight="1" x14ac:dyDescent="0.25">
      <c r="A4" s="135"/>
      <c r="B4" s="28"/>
      <c r="G4" s="166" t="s">
        <v>47</v>
      </c>
      <c r="H4" s="166"/>
    </row>
    <row r="5" spans="1:16" ht="29.25" customHeight="1" x14ac:dyDescent="0.25">
      <c r="A5" s="164" t="s">
        <v>29</v>
      </c>
      <c r="B5" s="164"/>
      <c r="C5" s="164"/>
      <c r="D5" s="164"/>
      <c r="E5" s="164"/>
      <c r="F5" s="164"/>
      <c r="G5" s="164"/>
      <c r="H5" s="164"/>
      <c r="J5" s="131"/>
    </row>
    <row r="6" spans="1:16" s="26" customFormat="1" ht="12.75" customHeight="1" x14ac:dyDescent="0.25">
      <c r="A6" s="159"/>
      <c r="B6" s="159"/>
      <c r="C6" s="159"/>
      <c r="G6" s="157" t="s">
        <v>59</v>
      </c>
      <c r="H6" s="157"/>
    </row>
    <row r="7" spans="1:16" s="130" customFormat="1" ht="35.25" customHeight="1" x14ac:dyDescent="0.25">
      <c r="A7" s="134" t="s">
        <v>52</v>
      </c>
      <c r="B7" s="47" t="s">
        <v>48</v>
      </c>
      <c r="C7" s="70" t="s">
        <v>39</v>
      </c>
      <c r="D7" s="47" t="s">
        <v>30</v>
      </c>
      <c r="E7" s="47" t="s">
        <v>15</v>
      </c>
      <c r="F7" s="47" t="s">
        <v>16</v>
      </c>
      <c r="G7" s="70" t="s">
        <v>65</v>
      </c>
      <c r="H7" s="47" t="s">
        <v>61</v>
      </c>
      <c r="J7" s="165"/>
      <c r="K7" s="165"/>
      <c r="L7" s="165"/>
      <c r="M7" s="165"/>
      <c r="N7" s="165"/>
      <c r="O7" s="165"/>
      <c r="P7" s="165"/>
    </row>
    <row r="8" spans="1:16" ht="20.100000000000001" customHeight="1" x14ac:dyDescent="0.25"/>
    <row r="9" spans="1:16" ht="20.100000000000001" customHeight="1" x14ac:dyDescent="0.25"/>
    <row r="10" spans="1:16" ht="20.100000000000001" customHeight="1" x14ac:dyDescent="0.25"/>
    <row r="11" spans="1:16" ht="20.100000000000001" customHeight="1" x14ac:dyDescent="0.25"/>
    <row r="12" spans="1:16" ht="20.100000000000001" customHeight="1" x14ac:dyDescent="0.25"/>
    <row r="13" spans="1:16" ht="20.100000000000001" customHeight="1" x14ac:dyDescent="0.25"/>
    <row r="14" spans="1:16" s="6" customFormat="1" ht="20.100000000000001" customHeight="1" x14ac:dyDescent="0.25">
      <c r="D14"/>
      <c r="E14"/>
      <c r="F14"/>
      <c r="G14"/>
      <c r="H14"/>
      <c r="I14"/>
      <c r="J14"/>
      <c r="K14"/>
      <c r="L14"/>
      <c r="M14"/>
    </row>
    <row r="15" spans="1:16" s="6" customFormat="1" ht="20.100000000000001" customHeight="1" x14ac:dyDescent="0.25">
      <c r="D15"/>
      <c r="E15"/>
      <c r="F15"/>
      <c r="G15"/>
      <c r="H15"/>
      <c r="I15"/>
      <c r="J15"/>
      <c r="K15"/>
      <c r="L15"/>
      <c r="M15"/>
    </row>
    <row r="16" spans="1:16" s="6" customFormat="1" ht="20.100000000000001" customHeight="1" x14ac:dyDescent="0.25">
      <c r="D16"/>
      <c r="E16"/>
      <c r="F16"/>
      <c r="G16"/>
      <c r="H16"/>
      <c r="I16"/>
      <c r="J16"/>
      <c r="K16"/>
      <c r="L16"/>
      <c r="M16"/>
    </row>
    <row r="17" spans="4:13" s="6" customFormat="1" ht="20.100000000000001" customHeight="1" x14ac:dyDescent="0.25">
      <c r="D17"/>
      <c r="E17"/>
      <c r="F17"/>
      <c r="G17"/>
      <c r="H17"/>
      <c r="I17"/>
      <c r="J17"/>
      <c r="K17"/>
      <c r="L17"/>
      <c r="M17"/>
    </row>
    <row r="18" spans="4:13" s="6" customFormat="1" ht="20.100000000000001" customHeight="1" x14ac:dyDescent="0.25">
      <c r="D18"/>
      <c r="E18"/>
      <c r="F18"/>
      <c r="G18"/>
      <c r="H18"/>
      <c r="I18"/>
      <c r="J18"/>
      <c r="K18"/>
      <c r="L18"/>
      <c r="M18"/>
    </row>
    <row r="19" spans="4:13" s="6" customFormat="1" ht="20.100000000000001" customHeight="1" x14ac:dyDescent="0.25">
      <c r="D19"/>
      <c r="E19"/>
      <c r="F19"/>
      <c r="G19"/>
      <c r="H19"/>
      <c r="I19"/>
      <c r="J19"/>
      <c r="K19"/>
      <c r="L19"/>
      <c r="M19"/>
    </row>
    <row r="20" spans="4:13" s="6" customFormat="1" ht="20.100000000000001" customHeight="1" x14ac:dyDescent="0.25">
      <c r="D20"/>
      <c r="E20"/>
      <c r="F20"/>
      <c r="G20"/>
      <c r="H20"/>
      <c r="I20"/>
      <c r="J20"/>
      <c r="K20"/>
      <c r="L20"/>
      <c r="M20"/>
    </row>
    <row r="21" spans="4:13" s="6" customFormat="1" ht="20.100000000000001" customHeight="1" x14ac:dyDescent="0.25">
      <c r="D21"/>
      <c r="E21"/>
      <c r="F21"/>
      <c r="G21"/>
      <c r="H21"/>
      <c r="I21"/>
      <c r="J21"/>
      <c r="K21"/>
      <c r="L21"/>
      <c r="M21"/>
    </row>
    <row r="22" spans="4:13" s="6" customFormat="1" ht="20.100000000000001" customHeight="1" x14ac:dyDescent="0.25">
      <c r="D22"/>
      <c r="E22"/>
      <c r="F22"/>
      <c r="G22"/>
      <c r="H22"/>
      <c r="I22"/>
      <c r="J22"/>
      <c r="K22"/>
      <c r="L22"/>
      <c r="M22"/>
    </row>
    <row r="23" spans="4:13" s="6" customFormat="1" ht="20.100000000000001" customHeight="1" x14ac:dyDescent="0.25">
      <c r="D23"/>
      <c r="E23"/>
      <c r="F23"/>
      <c r="G23"/>
      <c r="H23"/>
      <c r="I23"/>
      <c r="J23"/>
      <c r="K23"/>
      <c r="L23"/>
      <c r="M23"/>
    </row>
    <row r="24" spans="4:13" s="6" customFormat="1" ht="20.100000000000001" customHeight="1" x14ac:dyDescent="0.25">
      <c r="D24"/>
      <c r="E24"/>
      <c r="F24"/>
      <c r="G24"/>
      <c r="H24"/>
      <c r="I24"/>
      <c r="J24"/>
      <c r="K24"/>
      <c r="L24"/>
      <c r="M24"/>
    </row>
    <row r="25" spans="4:13" s="6" customFormat="1" ht="20.100000000000001" customHeight="1" x14ac:dyDescent="0.25">
      <c r="D25"/>
      <c r="E25"/>
      <c r="F25"/>
      <c r="G25"/>
      <c r="H25"/>
      <c r="I25"/>
      <c r="J25"/>
      <c r="K25"/>
      <c r="L25"/>
      <c r="M25"/>
    </row>
    <row r="26" spans="4:13" s="6" customFormat="1" ht="20.100000000000001" customHeight="1" x14ac:dyDescent="0.25">
      <c r="D26"/>
      <c r="E26"/>
      <c r="F26"/>
      <c r="G26"/>
      <c r="H26"/>
      <c r="I26"/>
      <c r="J26"/>
      <c r="K26"/>
      <c r="L26"/>
      <c r="M26"/>
    </row>
    <row r="27" spans="4:13" s="6" customFormat="1" ht="20.100000000000001" customHeight="1" x14ac:dyDescent="0.25">
      <c r="D27"/>
      <c r="E27"/>
      <c r="F27"/>
      <c r="G27"/>
      <c r="H27"/>
      <c r="I27"/>
      <c r="J27"/>
      <c r="K27"/>
      <c r="L27"/>
      <c r="M27"/>
    </row>
    <row r="28" spans="4:13" s="6" customFormat="1" ht="20.100000000000001" customHeight="1" x14ac:dyDescent="0.25">
      <c r="D28"/>
      <c r="E28"/>
      <c r="F28"/>
      <c r="G28"/>
      <c r="H28"/>
      <c r="I28"/>
      <c r="J28"/>
      <c r="K28"/>
      <c r="L28"/>
      <c r="M28"/>
    </row>
    <row r="29" spans="4:13" s="6" customFormat="1" ht="20.100000000000001" customHeight="1" x14ac:dyDescent="0.25">
      <c r="D29"/>
      <c r="E29"/>
      <c r="F29"/>
      <c r="G29"/>
      <c r="H29"/>
      <c r="I29"/>
      <c r="J29"/>
      <c r="K29"/>
      <c r="L29"/>
      <c r="M29"/>
    </row>
    <row r="30" spans="4:13" s="6" customFormat="1" ht="20.100000000000001" customHeight="1" x14ac:dyDescent="0.25">
      <c r="D30"/>
      <c r="E30"/>
      <c r="F30"/>
      <c r="G30"/>
      <c r="H30"/>
      <c r="I30"/>
      <c r="J30"/>
      <c r="K30"/>
      <c r="L30"/>
      <c r="M30"/>
    </row>
    <row r="31" spans="4:13" s="6" customFormat="1" ht="20.100000000000001" customHeight="1" x14ac:dyDescent="0.25">
      <c r="D31"/>
      <c r="E31"/>
      <c r="F31"/>
      <c r="G31"/>
      <c r="H31"/>
      <c r="I31"/>
      <c r="J31"/>
      <c r="K31"/>
      <c r="L31"/>
      <c r="M31"/>
    </row>
    <row r="32" spans="4:13" s="6" customFormat="1" ht="20.100000000000001" customHeight="1" x14ac:dyDescent="0.25">
      <c r="D32"/>
      <c r="E32"/>
      <c r="F32"/>
      <c r="G32"/>
      <c r="H32"/>
      <c r="I32"/>
      <c r="J32"/>
      <c r="K32"/>
      <c r="L32"/>
      <c r="M32"/>
    </row>
    <row r="33" spans="4:13" s="6" customFormat="1" ht="20.100000000000001" customHeight="1" x14ac:dyDescent="0.25">
      <c r="D33"/>
      <c r="E33"/>
      <c r="F33"/>
      <c r="G33"/>
      <c r="H33"/>
      <c r="I33"/>
      <c r="J33"/>
      <c r="K33"/>
      <c r="L33"/>
      <c r="M33"/>
    </row>
    <row r="34" spans="4:13" s="6" customFormat="1" ht="20.100000000000001" customHeight="1" x14ac:dyDescent="0.25">
      <c r="D34"/>
      <c r="E34"/>
      <c r="F34"/>
      <c r="G34"/>
      <c r="H34"/>
      <c r="I34"/>
      <c r="J34"/>
      <c r="K34"/>
      <c r="L34"/>
      <c r="M34"/>
    </row>
    <row r="35" spans="4:13" s="6" customFormat="1" ht="20.100000000000001" customHeight="1" x14ac:dyDescent="0.25">
      <c r="D35"/>
      <c r="E35"/>
      <c r="F35"/>
      <c r="G35"/>
      <c r="H35"/>
      <c r="I35"/>
      <c r="J35"/>
      <c r="K35"/>
      <c r="L35"/>
      <c r="M35"/>
    </row>
    <row r="36" spans="4:13" s="6" customFormat="1" ht="20.100000000000001" customHeight="1" x14ac:dyDescent="0.25">
      <c r="D36"/>
      <c r="E36"/>
      <c r="F36"/>
      <c r="G36"/>
      <c r="H36"/>
      <c r="I36"/>
      <c r="J36"/>
      <c r="K36"/>
      <c r="L36"/>
      <c r="M36"/>
    </row>
    <row r="37" spans="4:13" s="6" customFormat="1" ht="20.100000000000001" customHeight="1" x14ac:dyDescent="0.25">
      <c r="D37"/>
      <c r="E37"/>
      <c r="F37"/>
      <c r="G37"/>
      <c r="H37"/>
      <c r="I37"/>
      <c r="J37"/>
      <c r="K37"/>
      <c r="L37"/>
      <c r="M37"/>
    </row>
    <row r="38" spans="4:13" s="6" customFormat="1" ht="20.100000000000001" customHeight="1" x14ac:dyDescent="0.25">
      <c r="D38"/>
      <c r="E38"/>
      <c r="F38"/>
      <c r="G38"/>
      <c r="H38"/>
      <c r="I38"/>
      <c r="J38"/>
      <c r="K38"/>
      <c r="L38"/>
      <c r="M38"/>
    </row>
    <row r="39" spans="4:13" s="6" customFormat="1" ht="20.100000000000001" customHeight="1" x14ac:dyDescent="0.25">
      <c r="D39"/>
      <c r="E39"/>
      <c r="F39"/>
      <c r="G39"/>
      <c r="H39"/>
      <c r="I39"/>
      <c r="J39"/>
      <c r="K39"/>
      <c r="L39"/>
      <c r="M39"/>
    </row>
    <row r="40" spans="4:13" s="6" customFormat="1" ht="20.100000000000001" customHeight="1" x14ac:dyDescent="0.25">
      <c r="D40"/>
      <c r="E40"/>
      <c r="F40"/>
      <c r="G40"/>
      <c r="H40"/>
      <c r="I40"/>
      <c r="J40"/>
      <c r="K40"/>
      <c r="L40"/>
      <c r="M40"/>
    </row>
    <row r="41" spans="4:13" s="6" customFormat="1" ht="20.100000000000001" customHeight="1" x14ac:dyDescent="0.25">
      <c r="D41"/>
      <c r="E41"/>
      <c r="F41"/>
      <c r="G41"/>
      <c r="H41"/>
      <c r="I41"/>
      <c r="J41"/>
      <c r="K41"/>
      <c r="L41"/>
      <c r="M41"/>
    </row>
    <row r="42" spans="4:13" s="6" customFormat="1" ht="20.100000000000001" customHeight="1" x14ac:dyDescent="0.25">
      <c r="D42"/>
      <c r="E42"/>
      <c r="F42"/>
      <c r="G42"/>
      <c r="H42"/>
      <c r="I42"/>
      <c r="J42"/>
      <c r="K42"/>
      <c r="L42"/>
      <c r="M42"/>
    </row>
    <row r="43" spans="4:13" s="6" customFormat="1" ht="20.100000000000001" customHeight="1" x14ac:dyDescent="0.25">
      <c r="D43"/>
      <c r="E43"/>
      <c r="F43"/>
      <c r="G43"/>
      <c r="H43"/>
      <c r="I43"/>
      <c r="J43"/>
      <c r="K43"/>
      <c r="L43"/>
      <c r="M43"/>
    </row>
    <row r="44" spans="4:13" s="6" customFormat="1" ht="20.100000000000001" customHeight="1" x14ac:dyDescent="0.25">
      <c r="D44"/>
      <c r="E44"/>
      <c r="F44"/>
      <c r="G44"/>
      <c r="H44"/>
      <c r="I44"/>
      <c r="J44"/>
      <c r="K44"/>
      <c r="L44"/>
      <c r="M44"/>
    </row>
    <row r="45" spans="4:13" s="6" customFormat="1" ht="20.100000000000001" customHeight="1" x14ac:dyDescent="0.25">
      <c r="D45"/>
      <c r="E45"/>
      <c r="F45"/>
      <c r="G45"/>
      <c r="H45"/>
      <c r="I45"/>
      <c r="J45"/>
      <c r="K45"/>
      <c r="L45"/>
      <c r="M45"/>
    </row>
    <row r="46" spans="4:13" s="6" customFormat="1" ht="20.100000000000001" customHeight="1" x14ac:dyDescent="0.25">
      <c r="D46"/>
      <c r="E46"/>
      <c r="F46"/>
      <c r="G46"/>
      <c r="H46"/>
      <c r="I46"/>
      <c r="J46"/>
      <c r="K46"/>
      <c r="L46"/>
      <c r="M46"/>
    </row>
    <row r="47" spans="4:13" s="6" customFormat="1" ht="20.100000000000001" customHeight="1" x14ac:dyDescent="0.25">
      <c r="D47"/>
      <c r="E47"/>
      <c r="F47"/>
      <c r="G47"/>
      <c r="H47"/>
      <c r="I47"/>
      <c r="J47"/>
      <c r="K47"/>
      <c r="L47"/>
      <c r="M47"/>
    </row>
    <row r="48" spans="4:13" s="6" customFormat="1" ht="20.100000000000001" customHeight="1" x14ac:dyDescent="0.25">
      <c r="D48"/>
      <c r="E48"/>
      <c r="F48"/>
      <c r="G48"/>
      <c r="H48"/>
      <c r="I48"/>
      <c r="J48"/>
      <c r="K48"/>
      <c r="L48"/>
      <c r="M48"/>
    </row>
    <row r="49" spans="4:13" s="6" customFormat="1" ht="20.100000000000001" customHeight="1" x14ac:dyDescent="0.25">
      <c r="D49"/>
      <c r="E49"/>
      <c r="F49"/>
      <c r="G49"/>
      <c r="H49"/>
      <c r="I49"/>
      <c r="J49"/>
      <c r="K49"/>
      <c r="L49"/>
      <c r="M49"/>
    </row>
    <row r="50" spans="4:13" s="6" customFormat="1" ht="20.100000000000001" customHeight="1" x14ac:dyDescent="0.25">
      <c r="D50"/>
      <c r="E50"/>
      <c r="F50"/>
      <c r="G50"/>
      <c r="H50"/>
      <c r="I50"/>
      <c r="J50"/>
      <c r="K50"/>
      <c r="L50"/>
      <c r="M50"/>
    </row>
    <row r="51" spans="4:13" s="6" customFormat="1" ht="20.100000000000001" customHeight="1" x14ac:dyDescent="0.25">
      <c r="D51"/>
      <c r="E51"/>
      <c r="F51"/>
      <c r="G51"/>
      <c r="H51"/>
      <c r="I51"/>
      <c r="J51"/>
      <c r="K51"/>
      <c r="L51"/>
      <c r="M51"/>
    </row>
    <row r="52" spans="4:13" s="6" customFormat="1" ht="20.100000000000001" customHeight="1" x14ac:dyDescent="0.25">
      <c r="D52"/>
      <c r="E52"/>
      <c r="F52"/>
      <c r="G52"/>
      <c r="H52"/>
      <c r="I52"/>
      <c r="J52"/>
      <c r="K52"/>
      <c r="L52"/>
      <c r="M52"/>
    </row>
    <row r="53" spans="4:13" s="6" customFormat="1" ht="20.100000000000001" customHeight="1" x14ac:dyDescent="0.25">
      <c r="D53"/>
      <c r="E53"/>
      <c r="F53"/>
      <c r="G53"/>
      <c r="H53"/>
      <c r="I53"/>
      <c r="J53"/>
      <c r="K53"/>
      <c r="L53"/>
      <c r="M53"/>
    </row>
    <row r="54" spans="4:13" s="6" customFormat="1" ht="20.100000000000001" customHeight="1" x14ac:dyDescent="0.25">
      <c r="D54"/>
      <c r="E54"/>
      <c r="F54"/>
      <c r="G54"/>
      <c r="H54"/>
      <c r="I54"/>
      <c r="J54"/>
      <c r="K54"/>
      <c r="L54"/>
      <c r="M54"/>
    </row>
    <row r="55" spans="4:13" s="6" customFormat="1" ht="20.100000000000001" customHeight="1" x14ac:dyDescent="0.25">
      <c r="D55"/>
      <c r="E55"/>
      <c r="F55"/>
      <c r="G55"/>
      <c r="H55"/>
      <c r="I55"/>
      <c r="J55"/>
      <c r="K55"/>
      <c r="L55"/>
      <c r="M55"/>
    </row>
    <row r="56" spans="4:13" s="6" customFormat="1" ht="20.100000000000001" customHeight="1" x14ac:dyDescent="0.25">
      <c r="D56"/>
      <c r="E56"/>
      <c r="F56"/>
      <c r="G56"/>
      <c r="H56"/>
      <c r="I56"/>
      <c r="J56"/>
      <c r="K56"/>
      <c r="L56"/>
      <c r="M56"/>
    </row>
    <row r="57" spans="4:13" s="6" customFormat="1" ht="20.100000000000001" customHeight="1" x14ac:dyDescent="0.25">
      <c r="D57"/>
      <c r="E57"/>
      <c r="F57"/>
      <c r="G57"/>
      <c r="H57"/>
      <c r="I57"/>
      <c r="J57"/>
      <c r="K57"/>
      <c r="L57"/>
      <c r="M57"/>
    </row>
    <row r="58" spans="4:13" s="6" customFormat="1" ht="20.100000000000001" customHeight="1" x14ac:dyDescent="0.25">
      <c r="D58"/>
      <c r="E58"/>
      <c r="F58"/>
      <c r="G58"/>
      <c r="H58"/>
      <c r="I58"/>
      <c r="J58"/>
      <c r="K58"/>
      <c r="L58"/>
      <c r="M58"/>
    </row>
    <row r="59" spans="4:13" s="6" customFormat="1" ht="20.100000000000001" customHeight="1" x14ac:dyDescent="0.25">
      <c r="D59"/>
      <c r="E59"/>
      <c r="F59"/>
      <c r="G59"/>
      <c r="H59"/>
      <c r="I59"/>
      <c r="J59"/>
      <c r="K59"/>
      <c r="L59"/>
      <c r="M59"/>
    </row>
    <row r="60" spans="4:13" s="6" customFormat="1" ht="20.100000000000001" customHeight="1" x14ac:dyDescent="0.25">
      <c r="D60"/>
      <c r="E60"/>
      <c r="F60"/>
      <c r="G60"/>
      <c r="H60"/>
      <c r="I60"/>
      <c r="J60"/>
      <c r="K60"/>
      <c r="L60"/>
      <c r="M60"/>
    </row>
    <row r="61" spans="4:13" s="6" customFormat="1" ht="20.100000000000001" customHeight="1" x14ac:dyDescent="0.25">
      <c r="D61"/>
      <c r="E61"/>
      <c r="F61"/>
      <c r="G61"/>
      <c r="H61"/>
      <c r="I61"/>
      <c r="J61"/>
      <c r="K61"/>
      <c r="L61"/>
      <c r="M61"/>
    </row>
    <row r="62" spans="4:13" s="6" customFormat="1" ht="20.100000000000001" customHeight="1" x14ac:dyDescent="0.25">
      <c r="D62"/>
      <c r="E62"/>
      <c r="F62"/>
      <c r="G62"/>
      <c r="H62"/>
      <c r="I62"/>
      <c r="J62"/>
      <c r="K62"/>
      <c r="L62"/>
      <c r="M62"/>
    </row>
    <row r="63" spans="4:13" s="6" customFormat="1" ht="20.100000000000001" customHeight="1" x14ac:dyDescent="0.25">
      <c r="D63"/>
      <c r="E63"/>
      <c r="F63"/>
      <c r="G63"/>
      <c r="H63"/>
      <c r="I63"/>
      <c r="J63"/>
      <c r="K63"/>
      <c r="L63"/>
      <c r="M63"/>
    </row>
    <row r="64" spans="4:13" s="6" customFormat="1" ht="20.100000000000001" customHeight="1" x14ac:dyDescent="0.25">
      <c r="D64"/>
      <c r="E64"/>
      <c r="F64"/>
      <c r="G64"/>
      <c r="H64"/>
      <c r="I64"/>
      <c r="J64"/>
      <c r="K64"/>
      <c r="L64"/>
      <c r="M64"/>
    </row>
    <row r="65" spans="4:13" s="6" customFormat="1" ht="20.100000000000001" customHeight="1" x14ac:dyDescent="0.25">
      <c r="D65"/>
      <c r="E65"/>
      <c r="F65"/>
      <c r="G65"/>
      <c r="H65"/>
      <c r="I65"/>
      <c r="J65"/>
      <c r="K65"/>
      <c r="L65"/>
      <c r="M65"/>
    </row>
    <row r="66" spans="4:13" s="6" customFormat="1" ht="20.100000000000001" customHeight="1" x14ac:dyDescent="0.25">
      <c r="D66"/>
      <c r="E66"/>
      <c r="F66"/>
      <c r="G66"/>
      <c r="H66"/>
      <c r="I66"/>
      <c r="J66"/>
      <c r="K66"/>
      <c r="L66"/>
      <c r="M66"/>
    </row>
    <row r="67" spans="4:13" s="6" customFormat="1" ht="20.100000000000001" customHeight="1" x14ac:dyDescent="0.25">
      <c r="D67"/>
      <c r="E67"/>
      <c r="F67"/>
      <c r="G67"/>
      <c r="H67"/>
      <c r="I67"/>
      <c r="J67"/>
      <c r="K67"/>
      <c r="L67"/>
      <c r="M67"/>
    </row>
    <row r="68" spans="4:13" s="6" customFormat="1" ht="20.100000000000001" customHeight="1" x14ac:dyDescent="0.25">
      <c r="D68"/>
      <c r="E68"/>
      <c r="F68"/>
      <c r="G68"/>
      <c r="H68"/>
      <c r="I68"/>
      <c r="J68"/>
      <c r="K68"/>
      <c r="L68"/>
      <c r="M68"/>
    </row>
    <row r="69" spans="4:13" s="6" customFormat="1" ht="20.100000000000001" customHeight="1" x14ac:dyDescent="0.25">
      <c r="D69"/>
      <c r="E69"/>
      <c r="F69"/>
      <c r="G69"/>
      <c r="H69"/>
      <c r="I69"/>
      <c r="J69"/>
      <c r="K69"/>
      <c r="L69"/>
      <c r="M69"/>
    </row>
    <row r="70" spans="4:13" s="6" customFormat="1" ht="20.100000000000001" customHeight="1" x14ac:dyDescent="0.25">
      <c r="D70"/>
      <c r="E70"/>
      <c r="F70"/>
      <c r="G70"/>
      <c r="H70"/>
      <c r="I70"/>
      <c r="J70"/>
      <c r="K70"/>
      <c r="L70"/>
      <c r="M70"/>
    </row>
    <row r="71" spans="4:13" s="6" customFormat="1" ht="20.100000000000001" customHeight="1" x14ac:dyDescent="0.25">
      <c r="D71"/>
      <c r="E71"/>
      <c r="F71"/>
      <c r="G71"/>
      <c r="H71"/>
      <c r="I71"/>
      <c r="J71"/>
      <c r="K71"/>
      <c r="L71"/>
      <c r="M71"/>
    </row>
    <row r="72" spans="4:13" s="6" customFormat="1" ht="20.100000000000001" customHeight="1" x14ac:dyDescent="0.25">
      <c r="D72"/>
      <c r="E72"/>
      <c r="F72"/>
      <c r="G72"/>
      <c r="H72"/>
      <c r="I72"/>
      <c r="J72"/>
      <c r="K72"/>
      <c r="L72"/>
      <c r="M72"/>
    </row>
    <row r="73" spans="4:13" s="6" customFormat="1" ht="20.100000000000001" customHeight="1" x14ac:dyDescent="0.25">
      <c r="D73"/>
      <c r="E73"/>
      <c r="F73"/>
      <c r="G73"/>
      <c r="H73"/>
      <c r="I73"/>
      <c r="J73"/>
      <c r="K73"/>
      <c r="L73"/>
      <c r="M73"/>
    </row>
    <row r="74" spans="4:13" s="6" customFormat="1" ht="20.100000000000001" customHeight="1" x14ac:dyDescent="0.25">
      <c r="D74"/>
      <c r="E74"/>
      <c r="F74"/>
      <c r="G74"/>
      <c r="H74"/>
      <c r="I74"/>
      <c r="J74"/>
      <c r="K74"/>
      <c r="L74"/>
      <c r="M74"/>
    </row>
    <row r="75" spans="4:13" s="6" customFormat="1" ht="20.100000000000001" customHeight="1" x14ac:dyDescent="0.25">
      <c r="D75"/>
      <c r="E75"/>
      <c r="F75"/>
      <c r="G75"/>
      <c r="H75"/>
      <c r="I75"/>
      <c r="J75"/>
      <c r="K75"/>
      <c r="L75"/>
      <c r="M75"/>
    </row>
    <row r="76" spans="4:13" s="6" customFormat="1" ht="20.100000000000001" customHeight="1" x14ac:dyDescent="0.25">
      <c r="D76"/>
      <c r="E76"/>
      <c r="F76"/>
      <c r="G76"/>
      <c r="H76"/>
      <c r="I76"/>
      <c r="J76"/>
      <c r="K76"/>
      <c r="L76"/>
      <c r="M76"/>
    </row>
    <row r="77" spans="4:13" s="6" customFormat="1" ht="20.100000000000001" customHeight="1" x14ac:dyDescent="0.25">
      <c r="D77"/>
      <c r="E77"/>
      <c r="F77"/>
      <c r="G77"/>
      <c r="H77"/>
      <c r="I77"/>
      <c r="J77"/>
      <c r="K77"/>
      <c r="L77"/>
      <c r="M77"/>
    </row>
    <row r="78" spans="4:13" s="6" customFormat="1" ht="20.100000000000001" customHeight="1" x14ac:dyDescent="0.25">
      <c r="D78"/>
      <c r="E78"/>
      <c r="F78"/>
      <c r="G78"/>
      <c r="H78"/>
      <c r="I78"/>
      <c r="J78"/>
      <c r="K78"/>
      <c r="L78"/>
      <c r="M78"/>
    </row>
    <row r="79" spans="4:13" s="6" customFormat="1" ht="20.100000000000001" customHeight="1" x14ac:dyDescent="0.25">
      <c r="D79"/>
      <c r="E79"/>
      <c r="F79"/>
      <c r="G79"/>
      <c r="H79"/>
      <c r="I79"/>
      <c r="J79"/>
      <c r="K79"/>
      <c r="L79"/>
      <c r="M79"/>
    </row>
    <row r="80" spans="4:13" s="6" customFormat="1" ht="20.100000000000001" customHeight="1" x14ac:dyDescent="0.25">
      <c r="D80"/>
      <c r="E80"/>
      <c r="F80"/>
      <c r="G80"/>
      <c r="H80"/>
      <c r="I80"/>
      <c r="J80"/>
      <c r="K80"/>
      <c r="L80"/>
      <c r="M80"/>
    </row>
    <row r="81" spans="4:13" s="6" customFormat="1" ht="20.100000000000001" customHeight="1" x14ac:dyDescent="0.25">
      <c r="D81"/>
      <c r="E81"/>
      <c r="F81"/>
      <c r="G81"/>
      <c r="H81"/>
      <c r="I81"/>
      <c r="J81"/>
      <c r="K81"/>
      <c r="L81"/>
      <c r="M81"/>
    </row>
    <row r="82" spans="4:13" s="6" customFormat="1" ht="20.100000000000001" customHeight="1" x14ac:dyDescent="0.25">
      <c r="D82"/>
      <c r="E82"/>
      <c r="F82"/>
      <c r="G82"/>
      <c r="H82"/>
      <c r="I82"/>
      <c r="J82"/>
      <c r="K82"/>
      <c r="L82"/>
      <c r="M82"/>
    </row>
    <row r="83" spans="4:13" s="6" customFormat="1" ht="20.100000000000001" customHeight="1" x14ac:dyDescent="0.25">
      <c r="D83"/>
      <c r="E83"/>
      <c r="F83"/>
      <c r="G83"/>
      <c r="H83"/>
      <c r="I83"/>
      <c r="J83"/>
      <c r="K83"/>
      <c r="L83"/>
      <c r="M83"/>
    </row>
    <row r="84" spans="4:13" s="6" customFormat="1" ht="20.100000000000001" customHeight="1" x14ac:dyDescent="0.25">
      <c r="D84"/>
      <c r="E84"/>
      <c r="F84"/>
      <c r="G84"/>
      <c r="H84"/>
      <c r="I84"/>
      <c r="J84"/>
      <c r="K84"/>
      <c r="L84"/>
      <c r="M84"/>
    </row>
    <row r="85" spans="4:13" s="6" customFormat="1" ht="20.100000000000001" customHeight="1" x14ac:dyDescent="0.25">
      <c r="D85"/>
      <c r="E85"/>
      <c r="F85"/>
      <c r="G85"/>
      <c r="H85"/>
      <c r="I85"/>
      <c r="J85"/>
      <c r="K85"/>
      <c r="L85"/>
      <c r="M85"/>
    </row>
    <row r="86" spans="4:13" s="6" customFormat="1" ht="20.100000000000001" customHeight="1" x14ac:dyDescent="0.25">
      <c r="D86"/>
      <c r="E86"/>
      <c r="F86"/>
      <c r="G86"/>
      <c r="H86"/>
      <c r="I86"/>
      <c r="J86"/>
      <c r="K86"/>
      <c r="L86"/>
      <c r="M86"/>
    </row>
    <row r="87" spans="4:13" s="6" customFormat="1" ht="20.100000000000001" customHeight="1" x14ac:dyDescent="0.25">
      <c r="D87"/>
      <c r="E87"/>
      <c r="F87"/>
      <c r="G87"/>
      <c r="H87"/>
      <c r="I87"/>
      <c r="J87"/>
      <c r="K87"/>
      <c r="L87"/>
      <c r="M87"/>
    </row>
    <row r="88" spans="4:13" s="6" customFormat="1" ht="20.100000000000001" customHeight="1" x14ac:dyDescent="0.25">
      <c r="D88"/>
      <c r="E88"/>
      <c r="F88"/>
      <c r="G88"/>
      <c r="H88"/>
      <c r="I88"/>
      <c r="J88"/>
      <c r="K88"/>
      <c r="L88"/>
      <c r="M88"/>
    </row>
    <row r="89" spans="4:13" s="6" customFormat="1" ht="20.100000000000001" customHeight="1" x14ac:dyDescent="0.25">
      <c r="D89"/>
      <c r="E89"/>
      <c r="F89"/>
      <c r="G89"/>
      <c r="H89"/>
      <c r="I89"/>
      <c r="J89"/>
      <c r="K89"/>
      <c r="L89"/>
      <c r="M89"/>
    </row>
    <row r="90" spans="4:13" s="6" customFormat="1" ht="20.100000000000001" customHeight="1" x14ac:dyDescent="0.25">
      <c r="D90"/>
      <c r="E90"/>
      <c r="F90"/>
      <c r="G90"/>
      <c r="H90"/>
      <c r="I90"/>
      <c r="J90"/>
      <c r="K90"/>
      <c r="L90"/>
      <c r="M90"/>
    </row>
    <row r="91" spans="4:13" s="6" customFormat="1" ht="20.100000000000001" customHeight="1" x14ac:dyDescent="0.25">
      <c r="D91"/>
      <c r="E91"/>
      <c r="F91"/>
      <c r="G91"/>
      <c r="H91"/>
      <c r="I91"/>
      <c r="J91"/>
      <c r="K91"/>
      <c r="L91"/>
      <c r="M91"/>
    </row>
    <row r="92" spans="4:13" s="6" customFormat="1" ht="20.100000000000001" customHeight="1" x14ac:dyDescent="0.25">
      <c r="D92"/>
      <c r="E92"/>
      <c r="F92"/>
      <c r="G92"/>
      <c r="H92"/>
      <c r="I92"/>
      <c r="J92"/>
      <c r="K92"/>
      <c r="L92"/>
      <c r="M92"/>
    </row>
    <row r="93" spans="4:13" s="6" customFormat="1" ht="20.100000000000001" customHeight="1" x14ac:dyDescent="0.25">
      <c r="D93"/>
      <c r="E93"/>
      <c r="F93"/>
      <c r="G93"/>
      <c r="H93"/>
      <c r="I93"/>
      <c r="J93"/>
      <c r="K93"/>
      <c r="L93"/>
      <c r="M93"/>
    </row>
    <row r="94" spans="4:13" s="6" customFormat="1" ht="20.100000000000001" customHeight="1" x14ac:dyDescent="0.25">
      <c r="D94"/>
      <c r="E94"/>
      <c r="F94"/>
      <c r="G94"/>
      <c r="H94"/>
      <c r="I94"/>
      <c r="J94"/>
      <c r="K94"/>
      <c r="L94"/>
      <c r="M94"/>
    </row>
    <row r="95" spans="4:13" s="6" customFormat="1" ht="20.100000000000001" customHeight="1" x14ac:dyDescent="0.25">
      <c r="D95"/>
      <c r="E95"/>
      <c r="F95"/>
      <c r="G95"/>
      <c r="H95"/>
      <c r="I95"/>
      <c r="J95"/>
      <c r="K95"/>
      <c r="L95"/>
      <c r="M95"/>
    </row>
    <row r="96" spans="4:13" s="6" customFormat="1" ht="20.100000000000001" customHeight="1" x14ac:dyDescent="0.25">
      <c r="D96"/>
      <c r="E96"/>
      <c r="F96"/>
      <c r="G96"/>
      <c r="H96"/>
      <c r="I96"/>
      <c r="J96"/>
      <c r="K96"/>
      <c r="L96"/>
      <c r="M96"/>
    </row>
    <row r="97" spans="4:13" s="6" customFormat="1" ht="20.100000000000001" customHeight="1" x14ac:dyDescent="0.25">
      <c r="D97"/>
      <c r="E97"/>
      <c r="F97"/>
      <c r="G97"/>
      <c r="H97"/>
      <c r="I97"/>
      <c r="J97"/>
      <c r="K97"/>
      <c r="L97"/>
      <c r="M97"/>
    </row>
    <row r="98" spans="4:13" s="6" customFormat="1" ht="20.100000000000001" customHeight="1" x14ac:dyDescent="0.25">
      <c r="D98"/>
      <c r="E98"/>
      <c r="F98"/>
      <c r="G98"/>
      <c r="H98"/>
      <c r="I98"/>
      <c r="J98"/>
      <c r="K98"/>
      <c r="L98"/>
      <c r="M98"/>
    </row>
    <row r="99" spans="4:13" s="6" customFormat="1" ht="20.100000000000001" customHeight="1" x14ac:dyDescent="0.25">
      <c r="D99"/>
      <c r="E99"/>
      <c r="F99"/>
      <c r="G99"/>
      <c r="H99"/>
      <c r="I99"/>
      <c r="J99"/>
      <c r="K99"/>
      <c r="L99"/>
      <c r="M99"/>
    </row>
    <row r="100" spans="4:13" s="6" customFormat="1" ht="20.100000000000001" customHeight="1" x14ac:dyDescent="0.25">
      <c r="D100"/>
      <c r="E100"/>
      <c r="F100"/>
      <c r="G100"/>
      <c r="H100"/>
      <c r="I100"/>
      <c r="J100"/>
      <c r="K100"/>
      <c r="L100"/>
      <c r="M100"/>
    </row>
    <row r="101" spans="4:13" s="6" customFormat="1" ht="20.100000000000001" customHeight="1" x14ac:dyDescent="0.25">
      <c r="D101"/>
      <c r="E101"/>
      <c r="F101"/>
      <c r="G101"/>
      <c r="H101"/>
      <c r="I101"/>
      <c r="J101"/>
      <c r="K101"/>
      <c r="L101"/>
      <c r="M101"/>
    </row>
    <row r="102" spans="4:13" s="6" customFormat="1" ht="20.100000000000001" customHeight="1" x14ac:dyDescent="0.25">
      <c r="D102"/>
      <c r="E102"/>
      <c r="F102"/>
      <c r="G102"/>
      <c r="H102"/>
      <c r="I102"/>
      <c r="J102"/>
      <c r="K102"/>
      <c r="L102"/>
      <c r="M102"/>
    </row>
    <row r="103" spans="4:13" s="6" customFormat="1" ht="20.100000000000001" customHeight="1" x14ac:dyDescent="0.25">
      <c r="D103"/>
      <c r="E103"/>
      <c r="F103"/>
      <c r="G103"/>
      <c r="H103"/>
      <c r="I103"/>
      <c r="J103"/>
      <c r="K103"/>
      <c r="L103"/>
      <c r="M103"/>
    </row>
    <row r="104" spans="4:13" s="6" customFormat="1" ht="20.100000000000001" customHeight="1" x14ac:dyDescent="0.25">
      <c r="D104"/>
      <c r="E104"/>
      <c r="F104"/>
      <c r="G104"/>
      <c r="H104"/>
      <c r="I104"/>
      <c r="J104"/>
      <c r="K104"/>
      <c r="L104"/>
      <c r="M104"/>
    </row>
    <row r="105" spans="4:13" s="6" customFormat="1" ht="20.100000000000001" customHeight="1" x14ac:dyDescent="0.25">
      <c r="D105"/>
      <c r="E105"/>
      <c r="F105"/>
      <c r="G105"/>
      <c r="H105"/>
      <c r="I105"/>
      <c r="J105"/>
      <c r="K105"/>
      <c r="L105"/>
      <c r="M105"/>
    </row>
    <row r="106" spans="4:13" s="6" customFormat="1" ht="20.100000000000001" customHeight="1" x14ac:dyDescent="0.25">
      <c r="D106"/>
      <c r="E106"/>
      <c r="F106"/>
      <c r="G106"/>
      <c r="H106"/>
      <c r="I106"/>
      <c r="J106"/>
      <c r="K106"/>
      <c r="L106"/>
      <c r="M106"/>
    </row>
    <row r="107" spans="4:13" s="6" customFormat="1" ht="20.100000000000001" customHeight="1" x14ac:dyDescent="0.25">
      <c r="D107"/>
      <c r="E107"/>
      <c r="F107"/>
      <c r="G107"/>
      <c r="H107"/>
      <c r="I107"/>
      <c r="J107"/>
      <c r="K107"/>
      <c r="L107"/>
      <c r="M107"/>
    </row>
    <row r="108" spans="4:13" s="6" customFormat="1" ht="20.100000000000001" customHeight="1" x14ac:dyDescent="0.25">
      <c r="D108"/>
      <c r="E108"/>
      <c r="F108"/>
      <c r="G108"/>
      <c r="H108"/>
      <c r="I108"/>
      <c r="J108"/>
      <c r="K108"/>
      <c r="L108"/>
      <c r="M108"/>
    </row>
    <row r="109" spans="4:13" s="6" customFormat="1" ht="20.100000000000001" customHeight="1" x14ac:dyDescent="0.25">
      <c r="D109"/>
      <c r="E109"/>
      <c r="F109"/>
      <c r="G109"/>
      <c r="H109"/>
      <c r="I109"/>
      <c r="J109"/>
      <c r="K109"/>
      <c r="L109"/>
      <c r="M109"/>
    </row>
    <row r="110" spans="4:13" s="6" customFormat="1" ht="20.100000000000001" customHeight="1" x14ac:dyDescent="0.25">
      <c r="D110"/>
      <c r="E110"/>
      <c r="F110"/>
      <c r="G110"/>
      <c r="H110"/>
      <c r="I110"/>
      <c r="J110"/>
      <c r="K110"/>
      <c r="L110"/>
      <c r="M110"/>
    </row>
    <row r="111" spans="4:13" s="6" customFormat="1" ht="20.100000000000001" customHeight="1" x14ac:dyDescent="0.25">
      <c r="D111"/>
      <c r="E111"/>
      <c r="F111"/>
      <c r="G111"/>
      <c r="H111"/>
      <c r="I111"/>
      <c r="J111"/>
      <c r="K111"/>
      <c r="L111"/>
      <c r="M111"/>
    </row>
    <row r="112" spans="4:13" s="6" customFormat="1" ht="20.100000000000001" customHeight="1" x14ac:dyDescent="0.25">
      <c r="D112"/>
      <c r="E112"/>
      <c r="F112"/>
      <c r="G112"/>
      <c r="H112"/>
      <c r="I112"/>
      <c r="J112"/>
      <c r="K112"/>
      <c r="L112"/>
      <c r="M112"/>
    </row>
    <row r="113" spans="4:13" s="6" customFormat="1" ht="20.100000000000001" customHeight="1" x14ac:dyDescent="0.25">
      <c r="D113"/>
      <c r="E113"/>
      <c r="F113"/>
      <c r="G113"/>
      <c r="H113"/>
      <c r="I113"/>
      <c r="J113"/>
      <c r="K113"/>
      <c r="L113"/>
      <c r="M113"/>
    </row>
    <row r="114" spans="4:13" s="6" customFormat="1" ht="20.100000000000001" customHeight="1" x14ac:dyDescent="0.25">
      <c r="D114"/>
      <c r="E114"/>
      <c r="F114"/>
      <c r="G114"/>
      <c r="H114"/>
      <c r="I114"/>
      <c r="J114"/>
      <c r="K114"/>
      <c r="L114"/>
      <c r="M114"/>
    </row>
    <row r="115" spans="4:13" s="6" customFormat="1" ht="20.100000000000001" customHeight="1" x14ac:dyDescent="0.25">
      <c r="D115"/>
      <c r="E115"/>
      <c r="F115"/>
      <c r="G115"/>
      <c r="H115"/>
      <c r="I115"/>
      <c r="J115"/>
      <c r="K115"/>
      <c r="L115"/>
      <c r="M115"/>
    </row>
    <row r="116" spans="4:13" s="6" customFormat="1" ht="20.100000000000001" customHeight="1" x14ac:dyDescent="0.25">
      <c r="D116"/>
      <c r="E116"/>
      <c r="F116"/>
      <c r="G116"/>
      <c r="H116"/>
      <c r="I116"/>
      <c r="J116"/>
      <c r="K116"/>
      <c r="L116"/>
      <c r="M116"/>
    </row>
    <row r="117" spans="4:13" s="6" customFormat="1" ht="20.100000000000001" customHeight="1" x14ac:dyDescent="0.25">
      <c r="D117"/>
      <c r="E117"/>
      <c r="F117"/>
      <c r="G117"/>
      <c r="H117"/>
      <c r="I117"/>
      <c r="J117"/>
      <c r="K117"/>
      <c r="L117"/>
      <c r="M117"/>
    </row>
    <row r="118" spans="4:13" s="6" customFormat="1" ht="20.100000000000001" customHeight="1" x14ac:dyDescent="0.25">
      <c r="D118"/>
      <c r="E118"/>
      <c r="F118"/>
      <c r="G118"/>
      <c r="H118"/>
      <c r="I118"/>
      <c r="J118"/>
      <c r="K118"/>
      <c r="L118"/>
      <c r="M118"/>
    </row>
    <row r="119" spans="4:13" s="6" customFormat="1" ht="20.100000000000001" customHeight="1" x14ac:dyDescent="0.25">
      <c r="D119"/>
      <c r="E119"/>
      <c r="F119"/>
      <c r="G119"/>
      <c r="H119"/>
      <c r="I119"/>
      <c r="J119"/>
      <c r="K119"/>
      <c r="L119"/>
      <c r="M119"/>
    </row>
    <row r="120" spans="4:13" s="6" customFormat="1" ht="20.100000000000001" customHeight="1" x14ac:dyDescent="0.25">
      <c r="D120"/>
      <c r="E120"/>
      <c r="F120"/>
      <c r="G120"/>
      <c r="H120"/>
      <c r="I120"/>
      <c r="J120"/>
      <c r="K120"/>
      <c r="L120"/>
      <c r="M120"/>
    </row>
    <row r="121" spans="4:13" s="6" customFormat="1" ht="20.100000000000001" customHeight="1" x14ac:dyDescent="0.25">
      <c r="D121"/>
      <c r="E121"/>
      <c r="F121"/>
      <c r="G121"/>
      <c r="H121"/>
      <c r="I121"/>
      <c r="J121"/>
      <c r="K121"/>
      <c r="L121"/>
      <c r="M121"/>
    </row>
    <row r="122" spans="4:13" s="6" customFormat="1" ht="20.100000000000001" customHeight="1" x14ac:dyDescent="0.25">
      <c r="D122"/>
      <c r="E122"/>
      <c r="F122"/>
      <c r="G122"/>
      <c r="H122"/>
      <c r="I122"/>
      <c r="J122"/>
      <c r="K122"/>
      <c r="L122"/>
      <c r="M122"/>
    </row>
    <row r="123" spans="4:13" s="6" customFormat="1" ht="20.100000000000001" customHeight="1" x14ac:dyDescent="0.25">
      <c r="D123"/>
      <c r="E123"/>
      <c r="F123"/>
      <c r="G123"/>
      <c r="H123"/>
      <c r="I123"/>
      <c r="J123"/>
      <c r="K123"/>
      <c r="L123"/>
      <c r="M123"/>
    </row>
    <row r="124" spans="4:13" s="6" customFormat="1" ht="20.100000000000001" customHeight="1" x14ac:dyDescent="0.25">
      <c r="D124"/>
      <c r="E124"/>
      <c r="F124"/>
      <c r="G124"/>
      <c r="H124"/>
      <c r="I124"/>
      <c r="J124"/>
      <c r="K124"/>
      <c r="L124"/>
      <c r="M124"/>
    </row>
    <row r="125" spans="4:13" s="6" customFormat="1" ht="20.100000000000001" customHeight="1" x14ac:dyDescent="0.25">
      <c r="D125"/>
      <c r="E125"/>
      <c r="F125"/>
      <c r="G125"/>
      <c r="H125"/>
      <c r="I125"/>
      <c r="J125"/>
      <c r="K125"/>
      <c r="L125"/>
      <c r="M125"/>
    </row>
    <row r="126" spans="4:13" s="6" customFormat="1" ht="20.100000000000001" customHeight="1" x14ac:dyDescent="0.25">
      <c r="D126"/>
      <c r="E126"/>
      <c r="F126"/>
      <c r="G126"/>
      <c r="H126"/>
      <c r="I126"/>
      <c r="J126"/>
      <c r="K126"/>
      <c r="L126"/>
      <c r="M126"/>
    </row>
    <row r="127" spans="4:13" s="6" customFormat="1" ht="20.100000000000001" customHeight="1" x14ac:dyDescent="0.25">
      <c r="D127"/>
      <c r="E127"/>
      <c r="F127"/>
      <c r="G127"/>
      <c r="H127"/>
      <c r="I127"/>
      <c r="J127"/>
      <c r="K127"/>
      <c r="L127"/>
      <c r="M127"/>
    </row>
    <row r="128" spans="4:13" s="6" customFormat="1" ht="20.100000000000001" customHeight="1" x14ac:dyDescent="0.25">
      <c r="D128"/>
      <c r="E128"/>
      <c r="F128"/>
      <c r="G128"/>
      <c r="H128"/>
      <c r="I128"/>
      <c r="J128"/>
      <c r="K128"/>
      <c r="L128"/>
      <c r="M128"/>
    </row>
    <row r="129" spans="4:13" s="6" customFormat="1" ht="20.100000000000001" customHeight="1" x14ac:dyDescent="0.25">
      <c r="D129"/>
      <c r="E129"/>
      <c r="F129"/>
      <c r="G129"/>
      <c r="H129"/>
      <c r="I129"/>
      <c r="J129"/>
      <c r="K129"/>
      <c r="L129"/>
      <c r="M129"/>
    </row>
    <row r="130" spans="4:13" s="6" customFormat="1" ht="20.100000000000001" customHeight="1" x14ac:dyDescent="0.25">
      <c r="D130"/>
      <c r="E130"/>
      <c r="F130"/>
      <c r="G130"/>
      <c r="H130"/>
      <c r="I130"/>
      <c r="J130"/>
      <c r="K130"/>
      <c r="L130"/>
      <c r="M130"/>
    </row>
    <row r="131" spans="4:13" s="6" customFormat="1" ht="20.100000000000001" customHeight="1" x14ac:dyDescent="0.25">
      <c r="D131"/>
      <c r="E131"/>
      <c r="F131"/>
      <c r="G131"/>
      <c r="H131"/>
      <c r="I131"/>
      <c r="J131"/>
      <c r="K131"/>
      <c r="L131"/>
      <c r="M131"/>
    </row>
    <row r="132" spans="4:13" s="6" customFormat="1" ht="20.100000000000001" customHeight="1" x14ac:dyDescent="0.25">
      <c r="D132"/>
      <c r="E132"/>
      <c r="F132"/>
      <c r="G132"/>
      <c r="H132"/>
      <c r="I132"/>
      <c r="J132"/>
      <c r="K132"/>
      <c r="L132"/>
      <c r="M132"/>
    </row>
    <row r="133" spans="4:13" s="6" customFormat="1" ht="20.100000000000001" customHeight="1" x14ac:dyDescent="0.25">
      <c r="D133"/>
      <c r="E133"/>
      <c r="F133"/>
      <c r="G133"/>
      <c r="H133"/>
      <c r="I133"/>
      <c r="J133"/>
      <c r="K133"/>
      <c r="L133"/>
      <c r="M133"/>
    </row>
    <row r="134" spans="4:13" s="6" customFormat="1" ht="20.100000000000001" customHeight="1" x14ac:dyDescent="0.25">
      <c r="D134"/>
      <c r="E134"/>
      <c r="F134"/>
      <c r="G134"/>
      <c r="H134"/>
      <c r="I134"/>
      <c r="J134"/>
      <c r="K134"/>
      <c r="L134"/>
      <c r="M134"/>
    </row>
    <row r="135" spans="4:13" s="6" customFormat="1" ht="20.100000000000001" customHeight="1" x14ac:dyDescent="0.25">
      <c r="D135"/>
      <c r="E135"/>
      <c r="F135"/>
      <c r="G135"/>
      <c r="H135"/>
      <c r="I135"/>
      <c r="J135"/>
      <c r="K135"/>
      <c r="L135"/>
      <c r="M135"/>
    </row>
    <row r="136" spans="4:13" s="6" customFormat="1" ht="20.100000000000001" customHeight="1" x14ac:dyDescent="0.25">
      <c r="D136"/>
      <c r="E136"/>
      <c r="F136"/>
      <c r="G136"/>
      <c r="H136"/>
      <c r="I136"/>
      <c r="J136"/>
      <c r="K136"/>
      <c r="L136"/>
      <c r="M136"/>
    </row>
    <row r="137" spans="4:13" s="6" customFormat="1" ht="20.100000000000001" customHeight="1" x14ac:dyDescent="0.25">
      <c r="D137"/>
      <c r="E137"/>
      <c r="F137"/>
      <c r="G137"/>
      <c r="H137"/>
      <c r="I137"/>
      <c r="J137"/>
      <c r="K137"/>
      <c r="L137"/>
      <c r="M137"/>
    </row>
    <row r="138" spans="4:13" s="6" customFormat="1" ht="20.100000000000001" customHeight="1" x14ac:dyDescent="0.25">
      <c r="D138"/>
      <c r="E138"/>
      <c r="F138"/>
      <c r="G138"/>
      <c r="H138"/>
      <c r="I138"/>
      <c r="J138"/>
      <c r="K138"/>
      <c r="L138"/>
      <c r="M138"/>
    </row>
    <row r="139" spans="4:13" s="6" customFormat="1" ht="20.100000000000001" customHeight="1" x14ac:dyDescent="0.25">
      <c r="D139"/>
      <c r="E139"/>
      <c r="F139"/>
      <c r="G139"/>
      <c r="H139"/>
      <c r="I139"/>
      <c r="J139"/>
      <c r="K139"/>
      <c r="L139"/>
      <c r="M139"/>
    </row>
    <row r="140" spans="4:13" s="6" customFormat="1" ht="20.100000000000001" customHeight="1" x14ac:dyDescent="0.25">
      <c r="D140"/>
      <c r="E140"/>
      <c r="F140"/>
      <c r="G140"/>
      <c r="H140"/>
      <c r="I140"/>
      <c r="J140"/>
      <c r="K140"/>
      <c r="L140"/>
      <c r="M140"/>
    </row>
    <row r="141" spans="4:13" s="6" customFormat="1" ht="20.100000000000001" customHeight="1" x14ac:dyDescent="0.25">
      <c r="D141"/>
      <c r="E141"/>
      <c r="F141"/>
      <c r="G141"/>
      <c r="H141"/>
      <c r="I141"/>
      <c r="J141"/>
      <c r="K141"/>
      <c r="L141"/>
      <c r="M141"/>
    </row>
    <row r="142" spans="4:13" s="6" customFormat="1" ht="20.100000000000001" customHeight="1" x14ac:dyDescent="0.25">
      <c r="D142"/>
      <c r="E142"/>
      <c r="F142"/>
      <c r="G142"/>
      <c r="H142"/>
      <c r="I142"/>
      <c r="J142"/>
      <c r="K142"/>
      <c r="L142"/>
      <c r="M142"/>
    </row>
    <row r="143" spans="4:13" s="6" customFormat="1" ht="20.100000000000001" customHeight="1" x14ac:dyDescent="0.25">
      <c r="D143"/>
      <c r="E143"/>
      <c r="F143"/>
      <c r="G143"/>
      <c r="H143"/>
      <c r="I143"/>
      <c r="J143"/>
      <c r="K143"/>
      <c r="L143"/>
      <c r="M143"/>
    </row>
    <row r="144" spans="4:13" s="6" customFormat="1" ht="20.100000000000001" customHeight="1" x14ac:dyDescent="0.25">
      <c r="D144"/>
      <c r="E144"/>
      <c r="F144"/>
      <c r="G144"/>
      <c r="H144"/>
      <c r="I144"/>
      <c r="J144"/>
      <c r="K144"/>
      <c r="L144"/>
      <c r="M144"/>
    </row>
    <row r="145" spans="4:13" s="6" customFormat="1" ht="20.100000000000001" customHeight="1" x14ac:dyDescent="0.25">
      <c r="D145"/>
      <c r="E145"/>
      <c r="F145"/>
      <c r="G145"/>
      <c r="H145"/>
      <c r="I145"/>
      <c r="J145"/>
      <c r="K145"/>
      <c r="L145"/>
      <c r="M145"/>
    </row>
    <row r="146" spans="4:13" s="6" customFormat="1" ht="20.100000000000001" customHeight="1" x14ac:dyDescent="0.25">
      <c r="D146"/>
      <c r="E146"/>
      <c r="F146"/>
      <c r="G146"/>
      <c r="H146"/>
      <c r="I146"/>
      <c r="J146"/>
      <c r="K146"/>
      <c r="L146"/>
      <c r="M146"/>
    </row>
    <row r="147" spans="4:13" s="6" customFormat="1" ht="20.100000000000001" customHeight="1" x14ac:dyDescent="0.25">
      <c r="D147"/>
      <c r="E147"/>
      <c r="F147"/>
      <c r="G147"/>
      <c r="H147"/>
      <c r="I147"/>
      <c r="J147"/>
      <c r="K147"/>
      <c r="L147"/>
      <c r="M147"/>
    </row>
    <row r="148" spans="4:13" s="6" customFormat="1" ht="20.100000000000001" customHeight="1" x14ac:dyDescent="0.25">
      <c r="D148"/>
      <c r="E148"/>
      <c r="F148"/>
      <c r="G148"/>
      <c r="H148"/>
      <c r="I148"/>
      <c r="J148"/>
      <c r="K148"/>
      <c r="L148"/>
      <c r="M148"/>
    </row>
    <row r="149" spans="4:13" s="6" customFormat="1" ht="20.100000000000001" customHeight="1" x14ac:dyDescent="0.25">
      <c r="D149"/>
      <c r="E149"/>
      <c r="F149"/>
      <c r="G149"/>
      <c r="H149"/>
      <c r="I149"/>
      <c r="J149"/>
      <c r="K149"/>
      <c r="L149"/>
      <c r="M149"/>
    </row>
    <row r="150" spans="4:13" s="6" customFormat="1" ht="20.100000000000001" customHeight="1" x14ac:dyDescent="0.25">
      <c r="D150"/>
      <c r="E150"/>
      <c r="F150"/>
      <c r="G150"/>
      <c r="H150"/>
      <c r="I150"/>
      <c r="J150"/>
      <c r="K150"/>
      <c r="L150"/>
      <c r="M150"/>
    </row>
    <row r="151" spans="4:13" s="6" customFormat="1" ht="20.100000000000001" customHeight="1" x14ac:dyDescent="0.25">
      <c r="D151"/>
      <c r="E151"/>
      <c r="F151"/>
      <c r="G151"/>
      <c r="H151"/>
      <c r="I151"/>
      <c r="J151"/>
      <c r="K151"/>
      <c r="L151"/>
      <c r="M151"/>
    </row>
    <row r="152" spans="4:13" s="6" customFormat="1" ht="20.100000000000001" customHeight="1" x14ac:dyDescent="0.25">
      <c r="D152"/>
      <c r="E152"/>
      <c r="F152"/>
      <c r="G152"/>
      <c r="H152"/>
      <c r="I152"/>
      <c r="J152"/>
      <c r="K152"/>
      <c r="L152"/>
      <c r="M152"/>
    </row>
    <row r="153" spans="4:13" s="6" customFormat="1" ht="20.100000000000001" customHeight="1" x14ac:dyDescent="0.25">
      <c r="D153"/>
      <c r="E153"/>
      <c r="F153"/>
      <c r="G153"/>
      <c r="H153"/>
      <c r="I153"/>
      <c r="J153"/>
      <c r="K153"/>
      <c r="L153"/>
      <c r="M153"/>
    </row>
    <row r="154" spans="4:13" s="6" customFormat="1" ht="20.100000000000001" customHeight="1" x14ac:dyDescent="0.25">
      <c r="D154"/>
      <c r="E154"/>
      <c r="F154"/>
      <c r="G154"/>
      <c r="H154"/>
      <c r="I154"/>
      <c r="J154"/>
      <c r="K154"/>
      <c r="L154"/>
      <c r="M154"/>
    </row>
    <row r="155" spans="4:13" s="6" customFormat="1" ht="20.100000000000001" customHeight="1" x14ac:dyDescent="0.25">
      <c r="D155"/>
      <c r="E155"/>
      <c r="F155"/>
      <c r="G155"/>
      <c r="H155"/>
      <c r="I155"/>
      <c r="J155"/>
      <c r="K155"/>
      <c r="L155"/>
      <c r="M155"/>
    </row>
    <row r="156" spans="4:13" s="6" customFormat="1" ht="20.100000000000001" customHeight="1" x14ac:dyDescent="0.25">
      <c r="D156"/>
      <c r="E156"/>
      <c r="F156"/>
      <c r="G156"/>
      <c r="H156"/>
      <c r="I156"/>
      <c r="J156"/>
      <c r="K156"/>
      <c r="L156"/>
      <c r="M156"/>
    </row>
    <row r="157" spans="4:13" s="6" customFormat="1" ht="20.100000000000001" customHeight="1" x14ac:dyDescent="0.25">
      <c r="D157"/>
      <c r="E157"/>
      <c r="F157"/>
      <c r="G157"/>
      <c r="H157"/>
      <c r="I157"/>
      <c r="J157"/>
      <c r="K157"/>
      <c r="L157"/>
      <c r="M157"/>
    </row>
    <row r="158" spans="4:13" s="6" customFormat="1" ht="20.100000000000001" customHeight="1" x14ac:dyDescent="0.25">
      <c r="D158"/>
      <c r="E158"/>
      <c r="F158"/>
      <c r="G158"/>
      <c r="H158"/>
      <c r="I158"/>
      <c r="J158"/>
      <c r="K158"/>
      <c r="L158"/>
      <c r="M158"/>
    </row>
    <row r="159" spans="4:13" s="6" customFormat="1" ht="20.100000000000001" customHeight="1" x14ac:dyDescent="0.25">
      <c r="D159"/>
      <c r="E159"/>
      <c r="F159"/>
      <c r="G159"/>
      <c r="H159"/>
      <c r="I159"/>
      <c r="J159"/>
      <c r="K159"/>
      <c r="L159"/>
      <c r="M159"/>
    </row>
    <row r="160" spans="4:13" s="6" customFormat="1" ht="20.100000000000001" customHeight="1" x14ac:dyDescent="0.25">
      <c r="D160"/>
      <c r="E160"/>
      <c r="F160"/>
      <c r="G160"/>
      <c r="H160"/>
      <c r="I160"/>
      <c r="J160"/>
      <c r="K160"/>
      <c r="L160"/>
      <c r="M160"/>
    </row>
    <row r="161" spans="4:13" s="6" customFormat="1" ht="20.100000000000001" customHeight="1" x14ac:dyDescent="0.25">
      <c r="D161"/>
      <c r="E161"/>
      <c r="F161"/>
      <c r="G161"/>
      <c r="H161"/>
      <c r="I161"/>
      <c r="J161"/>
      <c r="K161"/>
      <c r="L161"/>
      <c r="M161"/>
    </row>
    <row r="162" spans="4:13" s="6" customFormat="1" ht="20.100000000000001" customHeight="1" x14ac:dyDescent="0.25">
      <c r="D162"/>
      <c r="E162"/>
      <c r="F162"/>
      <c r="G162"/>
      <c r="H162"/>
      <c r="I162"/>
      <c r="J162"/>
      <c r="K162"/>
      <c r="L162"/>
      <c r="M162"/>
    </row>
    <row r="163" spans="4:13" s="6" customFormat="1" ht="20.100000000000001" customHeight="1" x14ac:dyDescent="0.25">
      <c r="D163"/>
      <c r="E163"/>
      <c r="F163"/>
      <c r="G163"/>
      <c r="H163"/>
      <c r="I163"/>
      <c r="J163"/>
      <c r="K163"/>
      <c r="L163"/>
      <c r="M163"/>
    </row>
    <row r="164" spans="4:13" s="6" customFormat="1" ht="20.100000000000001" customHeight="1" x14ac:dyDescent="0.25">
      <c r="D164"/>
      <c r="E164"/>
      <c r="F164"/>
      <c r="G164"/>
      <c r="H164"/>
      <c r="I164"/>
      <c r="J164"/>
      <c r="K164"/>
      <c r="L164"/>
      <c r="M164"/>
    </row>
    <row r="165" spans="4:13" s="6" customFormat="1" ht="20.100000000000001" customHeight="1" x14ac:dyDescent="0.25">
      <c r="D165"/>
      <c r="E165"/>
      <c r="F165"/>
      <c r="G165"/>
      <c r="H165"/>
      <c r="I165"/>
      <c r="J165"/>
      <c r="K165"/>
      <c r="L165"/>
      <c r="M165"/>
    </row>
    <row r="166" spans="4:13" s="6" customFormat="1" ht="20.100000000000001" customHeight="1" x14ac:dyDescent="0.25">
      <c r="D166"/>
      <c r="E166"/>
      <c r="F166"/>
      <c r="G166"/>
      <c r="H166"/>
      <c r="I166"/>
      <c r="J166"/>
      <c r="K166"/>
      <c r="L166"/>
      <c r="M166"/>
    </row>
    <row r="167" spans="4:13" s="6" customFormat="1" ht="20.100000000000001" customHeight="1" x14ac:dyDescent="0.25">
      <c r="D167"/>
      <c r="E167"/>
      <c r="F167"/>
      <c r="G167"/>
      <c r="H167"/>
      <c r="I167"/>
      <c r="J167"/>
      <c r="K167"/>
      <c r="L167"/>
      <c r="M167"/>
    </row>
    <row r="168" spans="4:13" s="6" customFormat="1" ht="20.100000000000001" customHeight="1" x14ac:dyDescent="0.25">
      <c r="D168"/>
      <c r="E168"/>
      <c r="F168"/>
      <c r="G168"/>
      <c r="H168"/>
      <c r="I168"/>
      <c r="J168"/>
      <c r="K168"/>
      <c r="L168"/>
      <c r="M168"/>
    </row>
    <row r="169" spans="4:13" s="6" customFormat="1" ht="20.100000000000001" customHeight="1" x14ac:dyDescent="0.25">
      <c r="D169"/>
      <c r="E169"/>
      <c r="F169"/>
      <c r="G169"/>
      <c r="H169"/>
      <c r="I169"/>
      <c r="J169"/>
      <c r="K169"/>
      <c r="L169"/>
      <c r="M169"/>
    </row>
    <row r="170" spans="4:13" s="6" customFormat="1" ht="20.100000000000001" customHeight="1" x14ac:dyDescent="0.25">
      <c r="D170"/>
      <c r="E170"/>
      <c r="F170"/>
      <c r="G170"/>
      <c r="H170"/>
      <c r="I170"/>
      <c r="J170"/>
      <c r="K170"/>
      <c r="L170"/>
      <c r="M170"/>
    </row>
    <row r="171" spans="4:13" s="6" customFormat="1" ht="20.100000000000001" customHeight="1" x14ac:dyDescent="0.25">
      <c r="D171"/>
      <c r="E171"/>
      <c r="F171"/>
      <c r="G171"/>
      <c r="H171"/>
      <c r="I171"/>
      <c r="J171"/>
      <c r="K171"/>
      <c r="L171"/>
      <c r="M171"/>
    </row>
    <row r="172" spans="4:13" s="6" customFormat="1" ht="20.100000000000001" customHeight="1" x14ac:dyDescent="0.25">
      <c r="D172"/>
      <c r="E172"/>
      <c r="F172"/>
      <c r="G172"/>
      <c r="H172"/>
      <c r="I172"/>
      <c r="J172"/>
      <c r="K172"/>
      <c r="L172"/>
      <c r="M172"/>
    </row>
    <row r="173" spans="4:13" s="6" customFormat="1" ht="20.100000000000001" customHeight="1" x14ac:dyDescent="0.25">
      <c r="D173"/>
      <c r="E173"/>
      <c r="F173"/>
      <c r="G173"/>
      <c r="H173"/>
      <c r="I173"/>
      <c r="J173"/>
      <c r="K173"/>
      <c r="L173"/>
      <c r="M173"/>
    </row>
    <row r="174" spans="4:13" s="6" customFormat="1" ht="20.100000000000001" customHeight="1" x14ac:dyDescent="0.25">
      <c r="D174"/>
      <c r="E174"/>
      <c r="F174"/>
      <c r="G174"/>
      <c r="H174"/>
      <c r="I174"/>
      <c r="J174"/>
      <c r="K174"/>
      <c r="L174"/>
      <c r="M174"/>
    </row>
    <row r="175" spans="4:13" s="6" customFormat="1" ht="20.100000000000001" customHeight="1" x14ac:dyDescent="0.25">
      <c r="D175"/>
      <c r="E175"/>
      <c r="F175"/>
      <c r="G175"/>
      <c r="H175"/>
      <c r="I175"/>
      <c r="J175"/>
      <c r="K175"/>
      <c r="L175"/>
      <c r="M175"/>
    </row>
    <row r="176" spans="4:13" s="6" customFormat="1" ht="20.100000000000001" customHeight="1" x14ac:dyDescent="0.25">
      <c r="D176"/>
      <c r="E176"/>
      <c r="F176"/>
      <c r="G176"/>
      <c r="H176"/>
      <c r="I176"/>
      <c r="J176"/>
      <c r="K176"/>
      <c r="L176"/>
      <c r="M176"/>
    </row>
    <row r="177" spans="4:13" s="6" customFormat="1" ht="20.100000000000001" customHeight="1" x14ac:dyDescent="0.25">
      <c r="D177"/>
      <c r="E177"/>
      <c r="F177"/>
      <c r="G177"/>
      <c r="H177"/>
      <c r="I177"/>
      <c r="J177"/>
      <c r="K177"/>
      <c r="L177"/>
      <c r="M177"/>
    </row>
    <row r="178" spans="4:13" s="6" customFormat="1" ht="20.100000000000001" customHeight="1" x14ac:dyDescent="0.25">
      <c r="D178"/>
      <c r="E178"/>
      <c r="F178"/>
      <c r="G178"/>
      <c r="H178"/>
      <c r="I178"/>
      <c r="J178"/>
      <c r="K178"/>
      <c r="L178"/>
      <c r="M178"/>
    </row>
    <row r="179" spans="4:13" s="6" customFormat="1" ht="20.100000000000001" customHeight="1" x14ac:dyDescent="0.25">
      <c r="D179"/>
      <c r="E179"/>
      <c r="F179"/>
      <c r="G179"/>
      <c r="H179"/>
      <c r="I179"/>
      <c r="J179"/>
      <c r="K179"/>
      <c r="L179"/>
      <c r="M179"/>
    </row>
    <row r="180" spans="4:13" s="6" customFormat="1" ht="20.100000000000001" customHeight="1" x14ac:dyDescent="0.25">
      <c r="D180"/>
      <c r="E180"/>
      <c r="F180"/>
      <c r="G180"/>
      <c r="H180"/>
      <c r="I180"/>
      <c r="J180"/>
      <c r="K180"/>
      <c r="L180"/>
      <c r="M180"/>
    </row>
    <row r="181" spans="4:13" s="6" customFormat="1" ht="20.100000000000001" customHeight="1" x14ac:dyDescent="0.25">
      <c r="D181"/>
      <c r="E181"/>
      <c r="F181"/>
      <c r="G181"/>
      <c r="H181"/>
      <c r="I181"/>
      <c r="J181"/>
      <c r="K181"/>
      <c r="L181"/>
      <c r="M181"/>
    </row>
    <row r="182" spans="4:13" s="6" customFormat="1" ht="20.100000000000001" customHeight="1" x14ac:dyDescent="0.25">
      <c r="D182"/>
      <c r="E182"/>
      <c r="F182"/>
      <c r="G182"/>
      <c r="H182"/>
      <c r="I182"/>
      <c r="J182"/>
      <c r="K182"/>
      <c r="L182"/>
      <c r="M182"/>
    </row>
    <row r="183" spans="4:13" s="6" customFormat="1" ht="20.100000000000001" customHeight="1" x14ac:dyDescent="0.25">
      <c r="D183"/>
      <c r="E183"/>
      <c r="F183"/>
      <c r="G183"/>
      <c r="H183"/>
      <c r="I183"/>
      <c r="J183"/>
      <c r="K183"/>
      <c r="L183"/>
      <c r="M183"/>
    </row>
    <row r="184" spans="4:13" s="6" customFormat="1" ht="20.100000000000001" customHeight="1" x14ac:dyDescent="0.25">
      <c r="D184"/>
      <c r="E184"/>
      <c r="F184"/>
      <c r="G184"/>
      <c r="H184"/>
      <c r="I184"/>
      <c r="J184"/>
      <c r="K184"/>
      <c r="L184"/>
      <c r="M184"/>
    </row>
    <row r="185" spans="4:13" s="6" customFormat="1" ht="20.100000000000001" customHeight="1" x14ac:dyDescent="0.25">
      <c r="D185"/>
      <c r="E185"/>
      <c r="F185"/>
      <c r="G185"/>
      <c r="H185"/>
      <c r="I185"/>
      <c r="J185"/>
      <c r="K185"/>
      <c r="L185"/>
      <c r="M185"/>
    </row>
    <row r="186" spans="4:13" s="6" customFormat="1" ht="20.100000000000001" customHeight="1" x14ac:dyDescent="0.25">
      <c r="D186"/>
      <c r="E186"/>
      <c r="F186"/>
      <c r="G186"/>
      <c r="H186"/>
      <c r="I186"/>
      <c r="J186"/>
      <c r="K186"/>
      <c r="L186"/>
      <c r="M186"/>
    </row>
    <row r="187" spans="4:13" s="6" customFormat="1" ht="20.100000000000001" customHeight="1" x14ac:dyDescent="0.25">
      <c r="D187"/>
      <c r="E187"/>
      <c r="F187"/>
      <c r="G187"/>
      <c r="H187"/>
      <c r="I187"/>
      <c r="J187"/>
      <c r="K187"/>
      <c r="L187"/>
      <c r="M187"/>
    </row>
    <row r="188" spans="4:13" s="6" customFormat="1" ht="20.100000000000001" customHeight="1" x14ac:dyDescent="0.25">
      <c r="D188"/>
      <c r="E188"/>
      <c r="F188"/>
      <c r="G188"/>
      <c r="H188"/>
      <c r="I188"/>
      <c r="J188"/>
      <c r="K188"/>
      <c r="L188"/>
      <c r="M188"/>
    </row>
    <row r="189" spans="4:13" s="6" customFormat="1" ht="20.100000000000001" customHeight="1" x14ac:dyDescent="0.25">
      <c r="D189"/>
      <c r="E189"/>
      <c r="F189"/>
      <c r="G189"/>
      <c r="H189"/>
      <c r="I189"/>
      <c r="J189"/>
      <c r="K189"/>
      <c r="L189"/>
      <c r="M189"/>
    </row>
    <row r="190" spans="4:13" s="6" customFormat="1" ht="20.100000000000001" customHeight="1" x14ac:dyDescent="0.25">
      <c r="D190"/>
      <c r="E190"/>
      <c r="F190"/>
      <c r="G190"/>
      <c r="H190"/>
      <c r="I190"/>
      <c r="J190"/>
      <c r="K190"/>
      <c r="L190"/>
      <c r="M190"/>
    </row>
    <row r="191" spans="4:13" s="6" customFormat="1" ht="20.100000000000001" customHeight="1" x14ac:dyDescent="0.25">
      <c r="D191"/>
      <c r="E191"/>
      <c r="F191"/>
      <c r="G191"/>
      <c r="H191"/>
      <c r="I191"/>
      <c r="J191"/>
      <c r="K191"/>
      <c r="L191"/>
      <c r="M191"/>
    </row>
    <row r="192" spans="4:13" s="6" customFormat="1" ht="20.100000000000001" customHeight="1" x14ac:dyDescent="0.25">
      <c r="D192"/>
      <c r="E192"/>
      <c r="F192"/>
      <c r="G192"/>
      <c r="H192"/>
      <c r="I192"/>
      <c r="J192"/>
      <c r="K192"/>
      <c r="L192"/>
      <c r="M192"/>
    </row>
    <row r="193" spans="4:13" s="6" customFormat="1" ht="20.100000000000001" customHeight="1" x14ac:dyDescent="0.25">
      <c r="D193"/>
      <c r="E193"/>
      <c r="F193"/>
      <c r="G193"/>
      <c r="H193"/>
      <c r="I193"/>
      <c r="J193"/>
      <c r="K193"/>
      <c r="L193"/>
      <c r="M193"/>
    </row>
    <row r="194" spans="4:13" s="6" customFormat="1" ht="20.100000000000001" customHeight="1" x14ac:dyDescent="0.25">
      <c r="D194"/>
      <c r="E194"/>
      <c r="F194"/>
      <c r="G194"/>
      <c r="H194"/>
      <c r="I194"/>
      <c r="J194"/>
      <c r="K194"/>
      <c r="L194"/>
      <c r="M194"/>
    </row>
    <row r="195" spans="4:13" s="6" customFormat="1" ht="20.100000000000001" customHeight="1" x14ac:dyDescent="0.25">
      <c r="D195"/>
      <c r="E195"/>
      <c r="F195"/>
      <c r="G195"/>
      <c r="H195"/>
      <c r="I195"/>
      <c r="J195"/>
      <c r="K195"/>
      <c r="L195"/>
      <c r="M195"/>
    </row>
    <row r="196" spans="4:13" s="6" customFormat="1" ht="20.100000000000001" customHeight="1" x14ac:dyDescent="0.25">
      <c r="D196"/>
      <c r="E196"/>
      <c r="F196"/>
      <c r="G196"/>
      <c r="H196"/>
      <c r="I196"/>
      <c r="J196"/>
      <c r="K196"/>
      <c r="L196"/>
      <c r="M196"/>
    </row>
    <row r="197" spans="4:13" s="6" customFormat="1" ht="20.100000000000001" customHeight="1" x14ac:dyDescent="0.25">
      <c r="D197"/>
      <c r="E197"/>
      <c r="F197"/>
      <c r="G197"/>
      <c r="H197"/>
      <c r="I197"/>
      <c r="J197"/>
      <c r="K197"/>
      <c r="L197"/>
      <c r="M197"/>
    </row>
    <row r="198" spans="4:13" s="6" customFormat="1" ht="20.100000000000001" customHeight="1" x14ac:dyDescent="0.25">
      <c r="D198"/>
      <c r="E198"/>
      <c r="F198"/>
      <c r="G198"/>
      <c r="H198"/>
      <c r="I198"/>
      <c r="J198"/>
      <c r="K198"/>
      <c r="L198"/>
      <c r="M198"/>
    </row>
    <row r="199" spans="4:13" s="6" customFormat="1" ht="20.100000000000001" customHeight="1" x14ac:dyDescent="0.25">
      <c r="D199"/>
      <c r="E199"/>
      <c r="F199"/>
      <c r="G199"/>
      <c r="H199"/>
      <c r="I199"/>
      <c r="J199"/>
      <c r="K199"/>
      <c r="L199"/>
      <c r="M199"/>
    </row>
    <row r="200" spans="4:13" s="6" customFormat="1" ht="20.100000000000001" customHeight="1" x14ac:dyDescent="0.25">
      <c r="D200"/>
      <c r="E200"/>
      <c r="F200"/>
      <c r="G200"/>
      <c r="H200"/>
      <c r="I200"/>
      <c r="J200"/>
      <c r="K200"/>
      <c r="L200"/>
      <c r="M200"/>
    </row>
    <row r="201" spans="4:13" s="6" customFormat="1" ht="20.100000000000001" customHeight="1" x14ac:dyDescent="0.25">
      <c r="D201"/>
      <c r="E201"/>
      <c r="F201"/>
      <c r="G201"/>
      <c r="H201"/>
      <c r="I201"/>
      <c r="J201"/>
      <c r="K201"/>
      <c r="L201"/>
      <c r="M201"/>
    </row>
    <row r="202" spans="4:13" s="6" customFormat="1" ht="20.100000000000001" customHeight="1" x14ac:dyDescent="0.25">
      <c r="D202"/>
      <c r="E202"/>
      <c r="F202"/>
      <c r="G202"/>
      <c r="H202"/>
      <c r="I202"/>
      <c r="J202"/>
      <c r="K202"/>
      <c r="L202"/>
      <c r="M202"/>
    </row>
    <row r="203" spans="4:13" s="6" customFormat="1" ht="20.100000000000001" customHeight="1" x14ac:dyDescent="0.25">
      <c r="D203"/>
      <c r="E203"/>
      <c r="F203"/>
      <c r="G203"/>
      <c r="H203"/>
      <c r="I203"/>
      <c r="J203"/>
      <c r="K203"/>
      <c r="L203"/>
      <c r="M203"/>
    </row>
    <row r="204" spans="4:13" s="6" customFormat="1" ht="20.100000000000001" customHeight="1" x14ac:dyDescent="0.25">
      <c r="D204"/>
      <c r="E204"/>
      <c r="F204"/>
      <c r="G204"/>
      <c r="H204"/>
      <c r="I204"/>
      <c r="J204"/>
      <c r="K204"/>
      <c r="L204"/>
      <c r="M204"/>
    </row>
    <row r="205" spans="4:13" s="6" customFormat="1" ht="20.100000000000001" customHeight="1" x14ac:dyDescent="0.25">
      <c r="D205"/>
      <c r="E205"/>
      <c r="F205"/>
      <c r="G205"/>
      <c r="H205"/>
      <c r="I205"/>
      <c r="J205"/>
      <c r="K205"/>
      <c r="L205"/>
      <c r="M205"/>
    </row>
    <row r="206" spans="4:13" s="6" customFormat="1" ht="20.100000000000001" customHeight="1" x14ac:dyDescent="0.25">
      <c r="D206"/>
      <c r="E206"/>
      <c r="F206"/>
      <c r="G206"/>
      <c r="H206"/>
      <c r="I206"/>
      <c r="J206"/>
      <c r="K206"/>
      <c r="L206"/>
      <c r="M206"/>
    </row>
    <row r="207" spans="4:13" s="6" customFormat="1" ht="20.100000000000001" customHeight="1" x14ac:dyDescent="0.25">
      <c r="D207"/>
      <c r="E207"/>
      <c r="F207"/>
      <c r="G207"/>
      <c r="H207"/>
      <c r="I207"/>
      <c r="J207"/>
      <c r="K207"/>
      <c r="L207"/>
      <c r="M207"/>
    </row>
    <row r="208" spans="4:13" s="6" customFormat="1" ht="20.100000000000001" customHeight="1" x14ac:dyDescent="0.25">
      <c r="D208"/>
      <c r="E208"/>
      <c r="F208"/>
      <c r="G208"/>
      <c r="H208"/>
      <c r="I208"/>
      <c r="J208"/>
      <c r="K208"/>
      <c r="L208"/>
      <c r="M208"/>
    </row>
    <row r="209" spans="4:13" s="6" customFormat="1" ht="20.100000000000001" customHeight="1" x14ac:dyDescent="0.25">
      <c r="D209"/>
      <c r="E209"/>
      <c r="F209"/>
      <c r="G209"/>
      <c r="H209"/>
      <c r="I209"/>
      <c r="J209"/>
      <c r="K209"/>
      <c r="L209"/>
      <c r="M209"/>
    </row>
    <row r="210" spans="4:13" s="6" customFormat="1" ht="20.100000000000001" customHeight="1" x14ac:dyDescent="0.25">
      <c r="D210"/>
      <c r="E210"/>
      <c r="F210"/>
      <c r="G210"/>
      <c r="H210"/>
      <c r="I210"/>
      <c r="J210"/>
      <c r="K210"/>
      <c r="L210"/>
      <c r="M210"/>
    </row>
    <row r="211" spans="4:13" s="6" customFormat="1" ht="20.100000000000001" customHeight="1" x14ac:dyDescent="0.25">
      <c r="D211"/>
      <c r="E211"/>
      <c r="F211"/>
      <c r="G211"/>
      <c r="H211"/>
      <c r="I211"/>
      <c r="J211"/>
      <c r="K211"/>
      <c r="L211"/>
      <c r="M211"/>
    </row>
    <row r="212" spans="4:13" s="6" customFormat="1" ht="20.100000000000001" customHeight="1" x14ac:dyDescent="0.25">
      <c r="D212"/>
      <c r="E212"/>
      <c r="F212"/>
      <c r="G212"/>
      <c r="H212"/>
      <c r="I212"/>
      <c r="J212"/>
      <c r="K212"/>
      <c r="L212"/>
      <c r="M212"/>
    </row>
    <row r="213" spans="4:13" s="6" customFormat="1" ht="20.100000000000001" customHeight="1" x14ac:dyDescent="0.25">
      <c r="D213"/>
      <c r="E213"/>
      <c r="F213"/>
      <c r="G213"/>
      <c r="H213"/>
      <c r="I213"/>
      <c r="J213"/>
      <c r="K213"/>
      <c r="L213"/>
      <c r="M213"/>
    </row>
    <row r="214" spans="4:13" s="6" customFormat="1" ht="20.100000000000001" customHeight="1" x14ac:dyDescent="0.25">
      <c r="D214"/>
      <c r="E214"/>
      <c r="F214"/>
      <c r="G214"/>
      <c r="H214"/>
      <c r="I214"/>
      <c r="J214"/>
      <c r="K214"/>
      <c r="L214"/>
      <c r="M214"/>
    </row>
    <row r="215" spans="4:13" s="6" customFormat="1" ht="20.100000000000001" customHeight="1" x14ac:dyDescent="0.25">
      <c r="D215"/>
      <c r="E215"/>
      <c r="F215"/>
      <c r="G215"/>
      <c r="H215"/>
      <c r="I215"/>
      <c r="J215"/>
      <c r="K215"/>
      <c r="L215"/>
      <c r="M215"/>
    </row>
    <row r="216" spans="4:13" s="6" customFormat="1" ht="20.100000000000001" customHeight="1" x14ac:dyDescent="0.25">
      <c r="D216"/>
      <c r="E216"/>
      <c r="F216"/>
      <c r="G216"/>
      <c r="H216"/>
      <c r="I216"/>
      <c r="J216"/>
      <c r="K216"/>
      <c r="L216"/>
      <c r="M216"/>
    </row>
    <row r="217" spans="4:13" s="6" customFormat="1" ht="20.100000000000001" customHeight="1" x14ac:dyDescent="0.25">
      <c r="D217"/>
      <c r="E217"/>
      <c r="F217"/>
      <c r="G217"/>
      <c r="H217"/>
      <c r="I217"/>
      <c r="J217"/>
      <c r="K217"/>
      <c r="L217"/>
      <c r="M217"/>
    </row>
    <row r="218" spans="4:13" s="6" customFormat="1" ht="20.100000000000001" customHeight="1" x14ac:dyDescent="0.25">
      <c r="D218"/>
      <c r="E218"/>
      <c r="F218"/>
      <c r="G218"/>
      <c r="H218"/>
      <c r="I218"/>
      <c r="J218"/>
      <c r="K218"/>
      <c r="L218"/>
      <c r="M218"/>
    </row>
    <row r="219" spans="4:13" s="6" customFormat="1" ht="20.100000000000001" customHeight="1" x14ac:dyDescent="0.25">
      <c r="D219"/>
      <c r="E219"/>
      <c r="F219"/>
      <c r="G219"/>
      <c r="H219"/>
      <c r="I219"/>
      <c r="J219"/>
      <c r="K219"/>
      <c r="L219"/>
      <c r="M219"/>
    </row>
    <row r="220" spans="4:13" s="6" customFormat="1" ht="20.100000000000001" customHeight="1" x14ac:dyDescent="0.25">
      <c r="D220"/>
      <c r="E220"/>
      <c r="F220"/>
      <c r="G220"/>
      <c r="H220"/>
      <c r="I220"/>
      <c r="J220"/>
      <c r="K220"/>
      <c r="L220"/>
      <c r="M220"/>
    </row>
    <row r="221" spans="4:13" s="6" customFormat="1" ht="20.100000000000001" customHeight="1" x14ac:dyDescent="0.25">
      <c r="D221"/>
      <c r="E221"/>
      <c r="F221"/>
      <c r="G221"/>
      <c r="H221"/>
      <c r="I221"/>
      <c r="J221"/>
      <c r="K221"/>
      <c r="L221"/>
      <c r="M221"/>
    </row>
    <row r="222" spans="4:13" s="6" customFormat="1" ht="20.100000000000001" customHeight="1" x14ac:dyDescent="0.25">
      <c r="D222"/>
      <c r="E222"/>
      <c r="F222"/>
      <c r="G222"/>
      <c r="H222"/>
      <c r="I222"/>
      <c r="J222"/>
      <c r="K222"/>
      <c r="L222"/>
      <c r="M222"/>
    </row>
    <row r="223" spans="4:13" s="6" customFormat="1" ht="20.100000000000001" customHeight="1" x14ac:dyDescent="0.25">
      <c r="D223"/>
      <c r="E223"/>
      <c r="F223"/>
      <c r="G223"/>
      <c r="H223"/>
      <c r="I223"/>
      <c r="J223"/>
      <c r="K223"/>
      <c r="L223"/>
      <c r="M223"/>
    </row>
    <row r="224" spans="4:13" s="6" customFormat="1" ht="20.100000000000001" customHeight="1" x14ac:dyDescent="0.25">
      <c r="D224"/>
      <c r="E224"/>
      <c r="F224"/>
      <c r="G224"/>
      <c r="H224"/>
      <c r="I224"/>
      <c r="J224"/>
      <c r="K224"/>
      <c r="L224"/>
      <c r="M224"/>
    </row>
    <row r="225" spans="4:13" s="6" customFormat="1" ht="20.100000000000001" customHeight="1" x14ac:dyDescent="0.25">
      <c r="D225"/>
      <c r="E225"/>
      <c r="F225"/>
      <c r="G225"/>
      <c r="H225"/>
      <c r="I225"/>
      <c r="J225"/>
      <c r="K225"/>
      <c r="L225"/>
      <c r="M225"/>
    </row>
    <row r="226" spans="4:13" s="6" customFormat="1" ht="20.100000000000001" customHeight="1" x14ac:dyDescent="0.25">
      <c r="D226"/>
      <c r="E226"/>
      <c r="F226"/>
      <c r="G226"/>
      <c r="H226"/>
      <c r="I226"/>
      <c r="J226"/>
      <c r="K226"/>
      <c r="L226"/>
      <c r="M226"/>
    </row>
    <row r="227" spans="4:13" s="6" customFormat="1" ht="20.100000000000001" customHeight="1" x14ac:dyDescent="0.25">
      <c r="D227"/>
      <c r="E227"/>
      <c r="F227"/>
      <c r="G227"/>
      <c r="H227"/>
      <c r="I227"/>
      <c r="J227"/>
      <c r="K227"/>
      <c r="L227"/>
      <c r="M227"/>
    </row>
    <row r="228" spans="4:13" s="6" customFormat="1" ht="20.100000000000001" customHeight="1" x14ac:dyDescent="0.25">
      <c r="D228"/>
      <c r="E228"/>
      <c r="F228"/>
      <c r="G228"/>
      <c r="H228"/>
      <c r="I228"/>
      <c r="J228"/>
      <c r="K228"/>
      <c r="L228"/>
      <c r="M228"/>
    </row>
    <row r="229" spans="4:13" s="6" customFormat="1" ht="20.100000000000001" customHeight="1" x14ac:dyDescent="0.25">
      <c r="D229"/>
      <c r="E229"/>
      <c r="F229"/>
      <c r="G229"/>
      <c r="H229"/>
      <c r="I229"/>
      <c r="J229"/>
      <c r="K229"/>
      <c r="L229"/>
      <c r="M229"/>
    </row>
    <row r="230" spans="4:13" s="6" customFormat="1" ht="20.100000000000001" customHeight="1" x14ac:dyDescent="0.25">
      <c r="D230"/>
      <c r="E230"/>
      <c r="F230"/>
      <c r="G230"/>
      <c r="H230"/>
      <c r="I230"/>
      <c r="J230"/>
      <c r="K230"/>
      <c r="L230"/>
      <c r="M230"/>
    </row>
    <row r="231" spans="4:13" s="6" customFormat="1" ht="20.100000000000001" customHeight="1" x14ac:dyDescent="0.25">
      <c r="D231"/>
      <c r="E231"/>
      <c r="F231"/>
      <c r="G231"/>
      <c r="H231"/>
      <c r="I231"/>
      <c r="J231"/>
      <c r="K231"/>
      <c r="L231"/>
      <c r="M231"/>
    </row>
    <row r="232" spans="4:13" s="6" customFormat="1" ht="20.100000000000001" customHeight="1" x14ac:dyDescent="0.25">
      <c r="D232"/>
      <c r="E232"/>
      <c r="F232"/>
      <c r="G232"/>
      <c r="H232"/>
      <c r="I232"/>
      <c r="J232"/>
      <c r="K232"/>
      <c r="L232"/>
      <c r="M232"/>
    </row>
    <row r="233" spans="4:13" s="6" customFormat="1" ht="20.100000000000001" customHeight="1" x14ac:dyDescent="0.25">
      <c r="D233"/>
      <c r="E233"/>
      <c r="F233"/>
      <c r="G233"/>
      <c r="H233"/>
      <c r="I233"/>
      <c r="J233"/>
      <c r="K233"/>
      <c r="L233"/>
      <c r="M233"/>
    </row>
    <row r="234" spans="4:13" s="6" customFormat="1" ht="20.100000000000001" customHeight="1" x14ac:dyDescent="0.25">
      <c r="D234"/>
      <c r="E234"/>
      <c r="F234"/>
      <c r="G234"/>
      <c r="H234"/>
      <c r="I234"/>
      <c r="J234"/>
      <c r="K234"/>
      <c r="L234"/>
      <c r="M234"/>
    </row>
    <row r="235" spans="4:13" s="6" customFormat="1" ht="20.100000000000001" customHeight="1" x14ac:dyDescent="0.25">
      <c r="D235"/>
      <c r="E235"/>
      <c r="F235"/>
      <c r="G235"/>
      <c r="H235"/>
      <c r="I235"/>
      <c r="J235"/>
      <c r="K235"/>
      <c r="L235"/>
      <c r="M235"/>
    </row>
    <row r="236" spans="4:13" s="6" customFormat="1" ht="20.100000000000001" customHeight="1" x14ac:dyDescent="0.25">
      <c r="D236"/>
      <c r="E236"/>
      <c r="F236"/>
      <c r="G236"/>
      <c r="H236"/>
      <c r="I236"/>
      <c r="J236"/>
      <c r="K236"/>
      <c r="L236"/>
      <c r="M236"/>
    </row>
    <row r="237" spans="4:13" s="6" customFormat="1" ht="20.100000000000001" customHeight="1" x14ac:dyDescent="0.25">
      <c r="D237"/>
      <c r="E237"/>
      <c r="F237"/>
      <c r="G237"/>
      <c r="H237"/>
      <c r="I237"/>
      <c r="J237"/>
      <c r="K237"/>
      <c r="L237"/>
      <c r="M237"/>
    </row>
    <row r="238" spans="4:13" s="6" customFormat="1" ht="20.100000000000001" customHeight="1" x14ac:dyDescent="0.25">
      <c r="D238"/>
      <c r="E238"/>
      <c r="F238"/>
      <c r="G238"/>
      <c r="H238"/>
      <c r="I238"/>
      <c r="J238"/>
      <c r="K238"/>
      <c r="L238"/>
      <c r="M238"/>
    </row>
    <row r="239" spans="4:13" s="6" customFormat="1" ht="20.100000000000001" customHeight="1" x14ac:dyDescent="0.25">
      <c r="D239"/>
      <c r="E239"/>
      <c r="F239"/>
      <c r="G239"/>
      <c r="H239"/>
      <c r="I239"/>
      <c r="J239"/>
      <c r="K239"/>
      <c r="L239"/>
      <c r="M239"/>
    </row>
    <row r="240" spans="4:13" s="6" customFormat="1" ht="20.100000000000001" customHeight="1" x14ac:dyDescent="0.25">
      <c r="D240"/>
      <c r="E240"/>
      <c r="F240"/>
      <c r="G240"/>
      <c r="H240"/>
      <c r="I240"/>
      <c r="J240"/>
      <c r="K240"/>
      <c r="L240"/>
      <c r="M240"/>
    </row>
    <row r="241" spans="4:13" s="6" customFormat="1" ht="20.100000000000001" customHeight="1" x14ac:dyDescent="0.25">
      <c r="D241"/>
      <c r="E241"/>
      <c r="F241"/>
      <c r="G241"/>
      <c r="H241"/>
      <c r="I241"/>
      <c r="J241"/>
      <c r="K241"/>
      <c r="L241"/>
      <c r="M241"/>
    </row>
    <row r="242" spans="4:13" s="6" customFormat="1" ht="20.100000000000001" customHeight="1" x14ac:dyDescent="0.25">
      <c r="D242"/>
      <c r="E242"/>
      <c r="F242"/>
      <c r="G242"/>
      <c r="H242"/>
      <c r="I242"/>
      <c r="J242"/>
      <c r="K242"/>
      <c r="L242"/>
      <c r="M242"/>
    </row>
    <row r="243" spans="4:13" s="6" customFormat="1" ht="20.100000000000001" customHeight="1" x14ac:dyDescent="0.25">
      <c r="D243"/>
      <c r="E243"/>
      <c r="F243"/>
      <c r="G243"/>
      <c r="H243"/>
      <c r="I243"/>
      <c r="J243"/>
      <c r="K243"/>
      <c r="L243"/>
      <c r="M243"/>
    </row>
    <row r="244" spans="4:13" s="6" customFormat="1" ht="20.100000000000001" customHeight="1" x14ac:dyDescent="0.25">
      <c r="D244"/>
      <c r="E244"/>
      <c r="F244"/>
      <c r="G244"/>
      <c r="H244"/>
      <c r="I244"/>
      <c r="J244"/>
      <c r="K244"/>
      <c r="L244"/>
      <c r="M244"/>
    </row>
    <row r="245" spans="4:13" s="6" customFormat="1" ht="20.100000000000001" customHeight="1" x14ac:dyDescent="0.25">
      <c r="D245"/>
      <c r="E245"/>
      <c r="F245"/>
      <c r="G245"/>
      <c r="H245"/>
      <c r="I245"/>
      <c r="J245"/>
      <c r="K245"/>
      <c r="L245"/>
      <c r="M245"/>
    </row>
    <row r="246" spans="4:13" s="6" customFormat="1" ht="20.100000000000001" customHeight="1" x14ac:dyDescent="0.25">
      <c r="D246"/>
      <c r="E246"/>
      <c r="F246"/>
      <c r="G246"/>
      <c r="H246"/>
      <c r="I246"/>
      <c r="J246"/>
      <c r="K246"/>
      <c r="L246"/>
      <c r="M246"/>
    </row>
    <row r="247" spans="4:13" s="6" customFormat="1" ht="20.100000000000001" customHeight="1" x14ac:dyDescent="0.25">
      <c r="D247"/>
      <c r="E247"/>
      <c r="F247"/>
      <c r="G247"/>
      <c r="H247"/>
      <c r="I247"/>
      <c r="J247"/>
      <c r="K247"/>
      <c r="L247"/>
      <c r="M247"/>
    </row>
    <row r="248" spans="4:13" s="6" customFormat="1" ht="20.100000000000001" customHeight="1" x14ac:dyDescent="0.25">
      <c r="D248"/>
      <c r="E248"/>
      <c r="F248"/>
      <c r="G248"/>
      <c r="H248"/>
      <c r="I248"/>
      <c r="J248"/>
      <c r="K248"/>
      <c r="L248"/>
      <c r="M248"/>
    </row>
    <row r="249" spans="4:13" s="6" customFormat="1" ht="20.100000000000001" customHeight="1" x14ac:dyDescent="0.25">
      <c r="D249"/>
      <c r="E249"/>
      <c r="F249"/>
      <c r="G249"/>
      <c r="H249"/>
      <c r="I249"/>
      <c r="J249"/>
      <c r="K249"/>
      <c r="L249"/>
      <c r="M249"/>
    </row>
    <row r="250" spans="4:13" s="6" customFormat="1" ht="20.100000000000001" customHeight="1" x14ac:dyDescent="0.25">
      <c r="D250"/>
      <c r="E250"/>
      <c r="F250"/>
      <c r="G250"/>
      <c r="H250"/>
      <c r="I250"/>
      <c r="J250"/>
      <c r="K250"/>
      <c r="L250"/>
      <c r="M250"/>
    </row>
    <row r="251" spans="4:13" s="6" customFormat="1" ht="20.100000000000001" customHeight="1" x14ac:dyDescent="0.25">
      <c r="D251"/>
      <c r="E251"/>
      <c r="F251"/>
      <c r="G251"/>
      <c r="H251"/>
      <c r="I251"/>
      <c r="J251"/>
      <c r="K251"/>
      <c r="L251"/>
      <c r="M251"/>
    </row>
    <row r="252" spans="4:13" s="6" customFormat="1" ht="20.100000000000001" customHeight="1" x14ac:dyDescent="0.25">
      <c r="D252"/>
      <c r="E252"/>
      <c r="F252"/>
      <c r="G252"/>
      <c r="H252"/>
      <c r="I252"/>
      <c r="J252"/>
      <c r="K252"/>
      <c r="L252"/>
      <c r="M252"/>
    </row>
    <row r="253" spans="4:13" s="6" customFormat="1" ht="20.100000000000001" customHeight="1" x14ac:dyDescent="0.25">
      <c r="D253"/>
      <c r="E253"/>
      <c r="F253"/>
      <c r="G253"/>
      <c r="H253"/>
      <c r="I253"/>
      <c r="J253"/>
      <c r="K253"/>
      <c r="L253"/>
      <c r="M253"/>
    </row>
    <row r="254" spans="4:13" s="6" customFormat="1" ht="20.100000000000001" customHeight="1" x14ac:dyDescent="0.25">
      <c r="D254"/>
      <c r="E254"/>
      <c r="F254"/>
      <c r="G254"/>
      <c r="H254"/>
      <c r="I254"/>
      <c r="J254"/>
      <c r="K254"/>
      <c r="L254"/>
      <c r="M254"/>
    </row>
    <row r="255" spans="4:13" s="6" customFormat="1" ht="20.100000000000001" customHeight="1" x14ac:dyDescent="0.25">
      <c r="D255"/>
      <c r="E255"/>
      <c r="F255"/>
      <c r="G255"/>
      <c r="H255"/>
      <c r="I255"/>
      <c r="J255"/>
      <c r="K255"/>
      <c r="L255"/>
      <c r="M255"/>
    </row>
    <row r="256" spans="4:13" s="6" customFormat="1" ht="20.100000000000001" customHeight="1" x14ac:dyDescent="0.25">
      <c r="D256"/>
      <c r="E256"/>
      <c r="F256"/>
      <c r="G256"/>
      <c r="H256"/>
      <c r="I256"/>
      <c r="J256"/>
      <c r="K256"/>
      <c r="L256"/>
      <c r="M256"/>
    </row>
    <row r="257" spans="4:13" s="6" customFormat="1" ht="20.100000000000001" customHeight="1" x14ac:dyDescent="0.25">
      <c r="D257"/>
      <c r="E257"/>
      <c r="F257"/>
      <c r="G257"/>
      <c r="H257"/>
      <c r="I257"/>
      <c r="J257"/>
      <c r="K257"/>
      <c r="L257"/>
      <c r="M257"/>
    </row>
    <row r="258" spans="4:13" s="6" customFormat="1" ht="20.100000000000001" customHeight="1" x14ac:dyDescent="0.25">
      <c r="D258"/>
      <c r="E258"/>
      <c r="F258"/>
      <c r="G258"/>
      <c r="H258"/>
      <c r="I258"/>
      <c r="J258"/>
      <c r="K258"/>
      <c r="L258"/>
      <c r="M258"/>
    </row>
    <row r="259" spans="4:13" s="6" customFormat="1" ht="20.100000000000001" customHeight="1" x14ac:dyDescent="0.25">
      <c r="D259"/>
      <c r="E259"/>
      <c r="F259"/>
      <c r="G259"/>
      <c r="H259"/>
      <c r="I259"/>
      <c r="J259"/>
      <c r="K259"/>
      <c r="L259"/>
      <c r="M259"/>
    </row>
    <row r="260" spans="4:13" s="6" customFormat="1" ht="20.100000000000001" customHeight="1" x14ac:dyDescent="0.25">
      <c r="D260"/>
      <c r="E260"/>
      <c r="F260"/>
      <c r="G260"/>
      <c r="H260"/>
      <c r="I260"/>
      <c r="J260"/>
      <c r="K260"/>
      <c r="L260"/>
      <c r="M260"/>
    </row>
    <row r="261" spans="4:13" s="6" customFormat="1" ht="20.100000000000001" customHeight="1" x14ac:dyDescent="0.25">
      <c r="D261"/>
      <c r="E261"/>
      <c r="F261"/>
      <c r="G261"/>
      <c r="H261"/>
      <c r="I261"/>
      <c r="J261"/>
      <c r="K261"/>
      <c r="L261"/>
      <c r="M261"/>
    </row>
    <row r="262" spans="4:13" s="6" customFormat="1" ht="20.100000000000001" customHeight="1" x14ac:dyDescent="0.25">
      <c r="D262"/>
      <c r="E262"/>
      <c r="F262"/>
      <c r="G262"/>
      <c r="H262"/>
      <c r="I262"/>
      <c r="J262"/>
      <c r="K262"/>
      <c r="L262"/>
      <c r="M262"/>
    </row>
    <row r="263" spans="4:13" s="6" customFormat="1" ht="20.100000000000001" customHeight="1" x14ac:dyDescent="0.25">
      <c r="D263"/>
      <c r="E263"/>
      <c r="F263"/>
      <c r="G263"/>
      <c r="H263"/>
      <c r="I263"/>
      <c r="J263"/>
      <c r="K263"/>
      <c r="L263"/>
      <c r="M263"/>
    </row>
    <row r="264" spans="4:13" s="6" customFormat="1" ht="20.100000000000001" customHeight="1" x14ac:dyDescent="0.25">
      <c r="D264"/>
      <c r="E264"/>
      <c r="F264"/>
      <c r="G264"/>
      <c r="H264"/>
      <c r="I264"/>
      <c r="J264"/>
      <c r="K264"/>
      <c r="L264"/>
      <c r="M264"/>
    </row>
    <row r="265" spans="4:13" s="6" customFormat="1" ht="20.100000000000001" customHeight="1" x14ac:dyDescent="0.25">
      <c r="D265"/>
      <c r="E265"/>
      <c r="F265"/>
      <c r="G265"/>
      <c r="H265"/>
      <c r="I265"/>
      <c r="J265"/>
      <c r="K265"/>
      <c r="L265"/>
      <c r="M265"/>
    </row>
    <row r="266" spans="4:13" s="6" customFormat="1" ht="20.100000000000001" customHeight="1" x14ac:dyDescent="0.25">
      <c r="D266"/>
      <c r="E266"/>
      <c r="F266"/>
      <c r="G266"/>
      <c r="H266"/>
      <c r="I266"/>
      <c r="J266"/>
      <c r="K266"/>
      <c r="L266"/>
      <c r="M266"/>
    </row>
    <row r="267" spans="4:13" s="6" customFormat="1" ht="20.100000000000001" customHeight="1" x14ac:dyDescent="0.25">
      <c r="D267"/>
      <c r="E267"/>
      <c r="F267"/>
      <c r="G267"/>
      <c r="H267"/>
      <c r="I267"/>
      <c r="J267"/>
      <c r="K267"/>
      <c r="L267"/>
      <c r="M267"/>
    </row>
    <row r="268" spans="4:13" s="6" customFormat="1" ht="20.100000000000001" customHeight="1" x14ac:dyDescent="0.25">
      <c r="D268"/>
      <c r="E268"/>
      <c r="F268"/>
      <c r="G268"/>
      <c r="H268"/>
      <c r="I268"/>
      <c r="J268"/>
      <c r="K268"/>
      <c r="L268"/>
      <c r="M268"/>
    </row>
    <row r="269" spans="4:13" s="6" customFormat="1" ht="20.100000000000001" customHeight="1" x14ac:dyDescent="0.25">
      <c r="D269"/>
      <c r="E269"/>
      <c r="F269"/>
      <c r="G269"/>
      <c r="H269"/>
      <c r="I269"/>
      <c r="J269"/>
      <c r="K269"/>
      <c r="L269"/>
      <c r="M269"/>
    </row>
    <row r="270" spans="4:13" s="6" customFormat="1" ht="20.100000000000001" customHeight="1" x14ac:dyDescent="0.25">
      <c r="D270"/>
      <c r="E270"/>
      <c r="F270"/>
      <c r="G270"/>
      <c r="H270"/>
      <c r="I270"/>
      <c r="J270"/>
      <c r="K270"/>
      <c r="L270"/>
      <c r="M270"/>
    </row>
    <row r="271" spans="4:13" s="6" customFormat="1" ht="20.100000000000001" customHeight="1" x14ac:dyDescent="0.25">
      <c r="D271"/>
      <c r="E271"/>
      <c r="F271"/>
      <c r="G271"/>
      <c r="H271"/>
      <c r="I271"/>
      <c r="J271"/>
      <c r="K271"/>
      <c r="L271"/>
      <c r="M271"/>
    </row>
    <row r="272" spans="4:13" s="6" customFormat="1" ht="20.100000000000001" customHeight="1" x14ac:dyDescent="0.25">
      <c r="D272"/>
      <c r="E272"/>
      <c r="F272"/>
      <c r="G272"/>
      <c r="H272"/>
      <c r="I272"/>
      <c r="J272"/>
      <c r="K272"/>
      <c r="L272"/>
      <c r="M272"/>
    </row>
    <row r="273" spans="4:13" s="6" customFormat="1" ht="20.100000000000001" customHeight="1" x14ac:dyDescent="0.25">
      <c r="D273"/>
      <c r="E273"/>
      <c r="F273"/>
      <c r="G273"/>
      <c r="H273"/>
      <c r="I273"/>
      <c r="J273"/>
      <c r="K273"/>
      <c r="L273"/>
      <c r="M273"/>
    </row>
    <row r="274" spans="4:13" s="6" customFormat="1" ht="20.100000000000001" customHeight="1" x14ac:dyDescent="0.25">
      <c r="D274"/>
      <c r="E274"/>
      <c r="F274"/>
      <c r="G274"/>
      <c r="H274"/>
      <c r="I274"/>
      <c r="J274"/>
      <c r="K274"/>
      <c r="L274"/>
      <c r="M274"/>
    </row>
    <row r="275" spans="4:13" s="6" customFormat="1" ht="20.100000000000001" customHeight="1" x14ac:dyDescent="0.25">
      <c r="D275"/>
      <c r="E275"/>
      <c r="F275"/>
      <c r="G275"/>
      <c r="H275"/>
      <c r="I275"/>
      <c r="J275"/>
      <c r="K275"/>
      <c r="L275"/>
      <c r="M275"/>
    </row>
    <row r="276" spans="4:13" s="6" customFormat="1" ht="20.100000000000001" customHeight="1" x14ac:dyDescent="0.25">
      <c r="D276"/>
      <c r="E276"/>
      <c r="F276"/>
      <c r="G276"/>
      <c r="H276"/>
      <c r="I276"/>
      <c r="J276"/>
      <c r="K276"/>
      <c r="L276"/>
      <c r="M276"/>
    </row>
    <row r="277" spans="4:13" s="6" customFormat="1" ht="20.100000000000001" customHeight="1" x14ac:dyDescent="0.25">
      <c r="D277"/>
      <c r="E277"/>
      <c r="F277"/>
      <c r="G277"/>
      <c r="H277"/>
      <c r="I277"/>
      <c r="J277"/>
      <c r="K277"/>
      <c r="L277"/>
      <c r="M277"/>
    </row>
    <row r="278" spans="4:13" s="6" customFormat="1" ht="20.100000000000001" customHeight="1" x14ac:dyDescent="0.25">
      <c r="D278"/>
      <c r="E278"/>
      <c r="F278"/>
      <c r="G278"/>
      <c r="H278"/>
      <c r="I278"/>
      <c r="J278"/>
      <c r="K278"/>
      <c r="L278"/>
      <c r="M278"/>
    </row>
    <row r="279" spans="4:13" s="6" customFormat="1" ht="20.100000000000001" customHeight="1" x14ac:dyDescent="0.25">
      <c r="D279"/>
      <c r="E279"/>
      <c r="F279"/>
      <c r="G279"/>
      <c r="H279"/>
      <c r="I279"/>
      <c r="J279"/>
      <c r="K279"/>
      <c r="L279"/>
      <c r="M279"/>
    </row>
    <row r="280" spans="4:13" s="6" customFormat="1" ht="20.100000000000001" customHeight="1" x14ac:dyDescent="0.25">
      <c r="D280"/>
      <c r="E280"/>
      <c r="F280"/>
      <c r="G280"/>
      <c r="H280"/>
      <c r="I280"/>
      <c r="J280"/>
      <c r="K280"/>
      <c r="L280"/>
      <c r="M280"/>
    </row>
    <row r="281" spans="4:13" s="6" customFormat="1" ht="20.100000000000001" customHeight="1" x14ac:dyDescent="0.25">
      <c r="D281"/>
      <c r="E281"/>
      <c r="F281"/>
      <c r="G281"/>
      <c r="H281"/>
      <c r="I281"/>
      <c r="J281"/>
      <c r="K281"/>
      <c r="L281"/>
      <c r="M281"/>
    </row>
    <row r="282" spans="4:13" s="6" customFormat="1" ht="20.100000000000001" customHeight="1" x14ac:dyDescent="0.25">
      <c r="D282"/>
      <c r="E282"/>
      <c r="F282"/>
      <c r="G282"/>
      <c r="H282"/>
      <c r="I282"/>
      <c r="J282"/>
      <c r="K282"/>
      <c r="L282"/>
      <c r="M282"/>
    </row>
    <row r="283" spans="4:13" s="6" customFormat="1" ht="20.100000000000001" customHeight="1" x14ac:dyDescent="0.25">
      <c r="D283"/>
      <c r="E283"/>
      <c r="F283"/>
      <c r="G283"/>
      <c r="H283"/>
      <c r="I283"/>
      <c r="J283"/>
      <c r="K283"/>
      <c r="L283"/>
      <c r="M283"/>
    </row>
    <row r="284" spans="4:13" s="6" customFormat="1" ht="20.100000000000001" customHeight="1" x14ac:dyDescent="0.25">
      <c r="D284"/>
      <c r="E284"/>
      <c r="F284"/>
      <c r="G284"/>
      <c r="H284"/>
      <c r="I284"/>
      <c r="J284"/>
      <c r="K284"/>
      <c r="L284"/>
      <c r="M284"/>
    </row>
    <row r="285" spans="4:13" s="6" customFormat="1" ht="20.100000000000001" customHeight="1" x14ac:dyDescent="0.25">
      <c r="D285"/>
      <c r="E285"/>
      <c r="F285"/>
      <c r="G285"/>
      <c r="H285"/>
      <c r="I285"/>
      <c r="J285"/>
      <c r="K285"/>
      <c r="L285"/>
      <c r="M285"/>
    </row>
    <row r="286" spans="4:13" s="6" customFormat="1" ht="20.100000000000001" customHeight="1" x14ac:dyDescent="0.25">
      <c r="D286"/>
      <c r="E286"/>
      <c r="F286"/>
      <c r="G286"/>
      <c r="H286"/>
      <c r="I286"/>
      <c r="J286"/>
      <c r="K286"/>
      <c r="L286"/>
      <c r="M286"/>
    </row>
    <row r="287" spans="4:13" s="6" customFormat="1" ht="20.100000000000001" customHeight="1" x14ac:dyDescent="0.25">
      <c r="D287"/>
      <c r="E287"/>
      <c r="F287"/>
      <c r="G287"/>
      <c r="H287"/>
      <c r="I287"/>
      <c r="J287"/>
      <c r="K287"/>
      <c r="L287"/>
      <c r="M287"/>
    </row>
    <row r="288" spans="4:13" s="6" customFormat="1" ht="20.100000000000001" customHeight="1" x14ac:dyDescent="0.25">
      <c r="D288"/>
      <c r="E288"/>
      <c r="F288"/>
      <c r="G288"/>
      <c r="H288"/>
      <c r="I288"/>
      <c r="J288"/>
      <c r="K288"/>
      <c r="L288"/>
      <c r="M288"/>
    </row>
    <row r="289" spans="4:13" s="6" customFormat="1" ht="20.100000000000001" customHeight="1" x14ac:dyDescent="0.25">
      <c r="D289"/>
      <c r="E289"/>
      <c r="F289"/>
      <c r="G289"/>
      <c r="H289"/>
      <c r="I289"/>
      <c r="J289"/>
      <c r="K289"/>
      <c r="L289"/>
      <c r="M289"/>
    </row>
    <row r="290" spans="4:13" s="6" customFormat="1" ht="20.100000000000001" customHeight="1" x14ac:dyDescent="0.25">
      <c r="D290"/>
      <c r="E290"/>
      <c r="F290"/>
      <c r="G290"/>
      <c r="H290"/>
      <c r="I290"/>
      <c r="J290"/>
      <c r="K290"/>
      <c r="L290"/>
      <c r="M290"/>
    </row>
    <row r="291" spans="4:13" s="6" customFormat="1" ht="20.100000000000001" customHeight="1" x14ac:dyDescent="0.25">
      <c r="D291"/>
      <c r="E291"/>
      <c r="F291"/>
      <c r="G291"/>
      <c r="H291"/>
      <c r="I291"/>
      <c r="J291"/>
      <c r="K291"/>
      <c r="L291"/>
      <c r="M291"/>
    </row>
    <row r="292" spans="4:13" s="6" customFormat="1" ht="20.100000000000001" customHeight="1" x14ac:dyDescent="0.25">
      <c r="D292"/>
      <c r="E292"/>
      <c r="F292"/>
      <c r="G292"/>
      <c r="H292"/>
      <c r="I292"/>
      <c r="J292"/>
      <c r="K292"/>
      <c r="L292"/>
      <c r="M292"/>
    </row>
    <row r="293" spans="4:13" s="6" customFormat="1" ht="20.100000000000001" customHeight="1" x14ac:dyDescent="0.25">
      <c r="D293"/>
      <c r="E293"/>
      <c r="F293"/>
      <c r="G293"/>
      <c r="H293"/>
      <c r="I293"/>
      <c r="J293"/>
      <c r="K293"/>
      <c r="L293"/>
      <c r="M293"/>
    </row>
    <row r="294" spans="4:13" s="6" customFormat="1" ht="20.100000000000001" customHeight="1" x14ac:dyDescent="0.25">
      <c r="D294"/>
      <c r="E294"/>
      <c r="F294"/>
      <c r="G294"/>
      <c r="H294"/>
      <c r="I294"/>
      <c r="J294"/>
      <c r="K294"/>
      <c r="L294"/>
      <c r="M294"/>
    </row>
    <row r="295" spans="4:13" s="6" customFormat="1" ht="20.100000000000001" customHeight="1" x14ac:dyDescent="0.25">
      <c r="D295"/>
      <c r="E295"/>
      <c r="F295"/>
      <c r="G295"/>
      <c r="H295"/>
      <c r="I295"/>
      <c r="J295"/>
      <c r="K295"/>
      <c r="L295"/>
      <c r="M295"/>
    </row>
    <row r="296" spans="4:13" s="6" customFormat="1" ht="20.100000000000001" customHeight="1" x14ac:dyDescent="0.25">
      <c r="D296"/>
      <c r="E296"/>
      <c r="F296"/>
      <c r="G296"/>
      <c r="H296"/>
      <c r="I296"/>
      <c r="J296"/>
      <c r="K296"/>
      <c r="L296"/>
      <c r="M296"/>
    </row>
    <row r="297" spans="4:13" s="6" customFormat="1" ht="20.100000000000001" customHeight="1" x14ac:dyDescent="0.25">
      <c r="D297"/>
      <c r="E297"/>
      <c r="F297"/>
      <c r="G297"/>
      <c r="H297"/>
      <c r="I297"/>
      <c r="J297"/>
      <c r="K297"/>
      <c r="L297"/>
      <c r="M297"/>
    </row>
    <row r="298" spans="4:13" s="6" customFormat="1" ht="20.100000000000001" customHeight="1" x14ac:dyDescent="0.25">
      <c r="D298"/>
      <c r="E298"/>
      <c r="F298"/>
      <c r="G298"/>
      <c r="H298"/>
      <c r="I298"/>
      <c r="J298"/>
      <c r="K298"/>
      <c r="L298"/>
      <c r="M298"/>
    </row>
    <row r="299" spans="4:13" s="6" customFormat="1" ht="20.100000000000001" customHeight="1" x14ac:dyDescent="0.25">
      <c r="D299"/>
      <c r="E299"/>
      <c r="F299"/>
      <c r="G299"/>
      <c r="H299"/>
      <c r="I299"/>
      <c r="J299"/>
      <c r="K299"/>
      <c r="L299"/>
      <c r="M299"/>
    </row>
    <row r="300" spans="4:13" s="6" customFormat="1" ht="20.100000000000001" customHeight="1" x14ac:dyDescent="0.25">
      <c r="D300"/>
      <c r="E300"/>
      <c r="F300"/>
      <c r="G300"/>
      <c r="H300"/>
      <c r="I300"/>
      <c r="J300"/>
      <c r="K300"/>
      <c r="L300"/>
      <c r="M300"/>
    </row>
    <row r="301" spans="4:13" s="6" customFormat="1" ht="20.100000000000001" customHeight="1" x14ac:dyDescent="0.25">
      <c r="D301"/>
      <c r="E301"/>
      <c r="F301"/>
      <c r="G301"/>
      <c r="H301"/>
      <c r="I301"/>
      <c r="J301"/>
      <c r="K301"/>
      <c r="L301"/>
      <c r="M301"/>
    </row>
    <row r="302" spans="4:13" s="6" customFormat="1" ht="20.100000000000001" customHeight="1" x14ac:dyDescent="0.25">
      <c r="D302"/>
      <c r="E302"/>
      <c r="F302"/>
      <c r="G302"/>
      <c r="H302"/>
      <c r="I302"/>
      <c r="J302"/>
      <c r="K302"/>
      <c r="L302"/>
      <c r="M302"/>
    </row>
    <row r="303" spans="4:13" s="6" customFormat="1" ht="20.100000000000001" customHeight="1" x14ac:dyDescent="0.25">
      <c r="D303"/>
      <c r="E303"/>
      <c r="F303"/>
      <c r="G303"/>
      <c r="H303"/>
      <c r="I303"/>
      <c r="J303"/>
      <c r="K303"/>
      <c r="L303"/>
      <c r="M303"/>
    </row>
    <row r="304" spans="4:13" s="6" customFormat="1" ht="20.100000000000001" customHeight="1" x14ac:dyDescent="0.25">
      <c r="D304"/>
      <c r="E304"/>
      <c r="F304"/>
      <c r="G304"/>
      <c r="H304"/>
      <c r="I304"/>
      <c r="J304"/>
      <c r="K304"/>
      <c r="L304"/>
      <c r="M304"/>
    </row>
    <row r="305" spans="4:13" s="6" customFormat="1" ht="20.100000000000001" customHeight="1" x14ac:dyDescent="0.25">
      <c r="D305"/>
      <c r="E305"/>
      <c r="F305"/>
      <c r="G305"/>
      <c r="H305"/>
      <c r="I305"/>
      <c r="J305"/>
      <c r="K305"/>
      <c r="L305"/>
      <c r="M305"/>
    </row>
    <row r="306" spans="4:13" s="6" customFormat="1" ht="20.100000000000001" customHeight="1" x14ac:dyDescent="0.25">
      <c r="D306"/>
      <c r="E306"/>
      <c r="F306"/>
      <c r="G306"/>
      <c r="H306"/>
      <c r="I306"/>
      <c r="J306"/>
      <c r="K306"/>
      <c r="L306"/>
      <c r="M306"/>
    </row>
    <row r="307" spans="4:13" s="6" customFormat="1" ht="20.100000000000001" customHeight="1" x14ac:dyDescent="0.25">
      <c r="D307"/>
      <c r="E307"/>
      <c r="F307"/>
      <c r="G307"/>
      <c r="H307"/>
      <c r="I307"/>
      <c r="J307"/>
      <c r="K307"/>
      <c r="L307"/>
      <c r="M307"/>
    </row>
    <row r="308" spans="4:13" s="6" customFormat="1" ht="20.100000000000001" customHeight="1" x14ac:dyDescent="0.25">
      <c r="D308"/>
      <c r="E308"/>
      <c r="F308"/>
      <c r="G308"/>
      <c r="H308"/>
      <c r="I308"/>
      <c r="J308"/>
      <c r="K308"/>
      <c r="L308"/>
      <c r="M308"/>
    </row>
    <row r="309" spans="4:13" s="6" customFormat="1" ht="20.100000000000001" customHeight="1" x14ac:dyDescent="0.25">
      <c r="D309"/>
      <c r="E309"/>
      <c r="F309"/>
      <c r="G309"/>
      <c r="H309"/>
      <c r="I309"/>
      <c r="J309"/>
      <c r="K309"/>
      <c r="L309"/>
      <c r="M309"/>
    </row>
    <row r="310" spans="4:13" s="6" customFormat="1" ht="20.100000000000001" customHeight="1" x14ac:dyDescent="0.25">
      <c r="D310"/>
      <c r="E310"/>
      <c r="F310"/>
      <c r="G310"/>
      <c r="H310"/>
      <c r="I310"/>
      <c r="J310"/>
      <c r="K310"/>
      <c r="L310"/>
      <c r="M310"/>
    </row>
    <row r="311" spans="4:13" s="6" customFormat="1" ht="20.100000000000001" customHeight="1" x14ac:dyDescent="0.25">
      <c r="D311"/>
      <c r="E311"/>
      <c r="F311"/>
      <c r="G311"/>
      <c r="H311"/>
      <c r="I311"/>
      <c r="J311"/>
      <c r="K311"/>
      <c r="L311"/>
      <c r="M311"/>
    </row>
    <row r="312" spans="4:13" s="6" customFormat="1" ht="20.100000000000001" customHeight="1" x14ac:dyDescent="0.25">
      <c r="D312"/>
      <c r="E312"/>
      <c r="F312"/>
      <c r="G312"/>
      <c r="H312"/>
      <c r="I312"/>
      <c r="J312"/>
      <c r="K312"/>
      <c r="L312"/>
      <c r="M312"/>
    </row>
    <row r="313" spans="4:13" s="6" customFormat="1" ht="20.100000000000001" customHeight="1" x14ac:dyDescent="0.25">
      <c r="D313"/>
      <c r="E313"/>
      <c r="F313"/>
      <c r="G313"/>
      <c r="H313"/>
      <c r="I313"/>
      <c r="J313"/>
      <c r="K313"/>
      <c r="L313"/>
      <c r="M313"/>
    </row>
    <row r="314" spans="4:13" s="6" customFormat="1" ht="20.100000000000001" customHeight="1" x14ac:dyDescent="0.25">
      <c r="D314"/>
      <c r="E314"/>
      <c r="F314"/>
      <c r="G314"/>
      <c r="H314"/>
      <c r="I314"/>
      <c r="J314"/>
      <c r="K314"/>
      <c r="L314"/>
      <c r="M314"/>
    </row>
    <row r="315" spans="4:13" s="6" customFormat="1" ht="20.100000000000001" customHeight="1" x14ac:dyDescent="0.25">
      <c r="D315"/>
      <c r="E315"/>
      <c r="F315"/>
      <c r="G315"/>
      <c r="H315"/>
      <c r="I315"/>
      <c r="J315"/>
      <c r="K315"/>
      <c r="L315"/>
      <c r="M315"/>
    </row>
    <row r="316" spans="4:13" s="6" customFormat="1" ht="20.100000000000001" customHeight="1" x14ac:dyDescent="0.25">
      <c r="D316"/>
      <c r="E316"/>
      <c r="F316"/>
      <c r="G316"/>
      <c r="H316"/>
      <c r="I316"/>
      <c r="J316"/>
      <c r="K316"/>
      <c r="L316"/>
      <c r="M316"/>
    </row>
    <row r="317" spans="4:13" s="6" customFormat="1" ht="20.100000000000001" customHeight="1" x14ac:dyDescent="0.25">
      <c r="D317"/>
      <c r="E317"/>
      <c r="F317"/>
      <c r="G317"/>
      <c r="H317"/>
      <c r="I317"/>
      <c r="J317"/>
      <c r="K317"/>
      <c r="L317"/>
      <c r="M317"/>
    </row>
    <row r="318" spans="4:13" s="6" customFormat="1" ht="20.100000000000001" customHeight="1" x14ac:dyDescent="0.25">
      <c r="D318"/>
      <c r="E318"/>
      <c r="F318"/>
      <c r="G318"/>
      <c r="H318"/>
      <c r="I318"/>
      <c r="J318"/>
      <c r="K318"/>
      <c r="L318"/>
      <c r="M318"/>
    </row>
    <row r="319" spans="4:13" s="6" customFormat="1" ht="20.100000000000001" customHeight="1" x14ac:dyDescent="0.25">
      <c r="D319"/>
      <c r="E319"/>
      <c r="F319"/>
      <c r="G319"/>
      <c r="H319"/>
      <c r="I319"/>
      <c r="J319"/>
      <c r="K319"/>
      <c r="L319"/>
      <c r="M319"/>
    </row>
    <row r="320" spans="4:13" s="6" customFormat="1" ht="20.100000000000001" customHeight="1" x14ac:dyDescent="0.25">
      <c r="D320"/>
      <c r="E320"/>
      <c r="F320"/>
      <c r="G320"/>
      <c r="H320"/>
      <c r="I320"/>
      <c r="J320"/>
      <c r="K320"/>
      <c r="L320"/>
      <c r="M320"/>
    </row>
    <row r="321" spans="4:13" s="6" customFormat="1" ht="20.100000000000001" customHeight="1" x14ac:dyDescent="0.25">
      <c r="D321"/>
      <c r="E321"/>
      <c r="F321"/>
      <c r="G321"/>
      <c r="H321"/>
      <c r="I321"/>
      <c r="J321"/>
      <c r="K321"/>
      <c r="L321"/>
      <c r="M321"/>
    </row>
    <row r="322" spans="4:13" s="6" customFormat="1" ht="20.100000000000001" customHeight="1" x14ac:dyDescent="0.25">
      <c r="D322"/>
      <c r="E322"/>
      <c r="F322"/>
      <c r="G322"/>
      <c r="H322"/>
      <c r="I322"/>
      <c r="J322"/>
      <c r="K322"/>
      <c r="L322"/>
      <c r="M322"/>
    </row>
    <row r="323" spans="4:13" s="6" customFormat="1" ht="20.100000000000001" customHeight="1" x14ac:dyDescent="0.25">
      <c r="D323"/>
      <c r="E323"/>
      <c r="F323"/>
      <c r="G323"/>
      <c r="H323"/>
      <c r="I323"/>
      <c r="J323"/>
      <c r="K323"/>
      <c r="L323"/>
      <c r="M323"/>
    </row>
    <row r="324" spans="4:13" s="6" customFormat="1" ht="20.100000000000001" customHeight="1" x14ac:dyDescent="0.25">
      <c r="D324"/>
      <c r="E324"/>
      <c r="F324"/>
      <c r="G324"/>
      <c r="H324"/>
      <c r="I324"/>
      <c r="J324"/>
      <c r="K324"/>
      <c r="L324"/>
      <c r="M324"/>
    </row>
    <row r="325" spans="4:13" s="6" customFormat="1" ht="20.100000000000001" customHeight="1" x14ac:dyDescent="0.25">
      <c r="D325"/>
      <c r="E325"/>
      <c r="F325"/>
      <c r="G325"/>
      <c r="H325"/>
      <c r="I325"/>
      <c r="J325"/>
      <c r="K325"/>
      <c r="L325"/>
      <c r="M325"/>
    </row>
    <row r="326" spans="4:13" s="6" customFormat="1" ht="20.100000000000001" customHeight="1" x14ac:dyDescent="0.25">
      <c r="D326"/>
      <c r="E326"/>
      <c r="F326"/>
      <c r="G326"/>
      <c r="H326"/>
      <c r="I326"/>
      <c r="J326"/>
      <c r="K326"/>
      <c r="L326"/>
      <c r="M326"/>
    </row>
    <row r="327" spans="4:13" s="6" customFormat="1" ht="20.100000000000001" customHeight="1" x14ac:dyDescent="0.25">
      <c r="D327"/>
      <c r="E327"/>
      <c r="F327"/>
      <c r="G327"/>
      <c r="H327"/>
      <c r="I327"/>
      <c r="J327"/>
      <c r="K327"/>
      <c r="L327"/>
      <c r="M327"/>
    </row>
    <row r="328" spans="4:13" s="6" customFormat="1" ht="20.100000000000001" customHeight="1" x14ac:dyDescent="0.25">
      <c r="D328"/>
      <c r="E328"/>
      <c r="F328"/>
      <c r="G328"/>
      <c r="H328"/>
      <c r="I328"/>
      <c r="J328"/>
      <c r="K328"/>
      <c r="L328"/>
      <c r="M328"/>
    </row>
    <row r="329" spans="4:13" s="6" customFormat="1" ht="20.100000000000001" customHeight="1" x14ac:dyDescent="0.25">
      <c r="D329"/>
      <c r="E329"/>
      <c r="F329"/>
      <c r="G329"/>
      <c r="H329"/>
      <c r="I329"/>
      <c r="J329"/>
      <c r="K329"/>
      <c r="L329"/>
      <c r="M329"/>
    </row>
    <row r="330" spans="4:13" s="6" customFormat="1" ht="20.100000000000001" customHeight="1" x14ac:dyDescent="0.25">
      <c r="D330"/>
      <c r="E330"/>
      <c r="F330"/>
      <c r="G330"/>
      <c r="H330"/>
      <c r="I330"/>
      <c r="J330"/>
      <c r="K330"/>
      <c r="L330"/>
      <c r="M330"/>
    </row>
    <row r="331" spans="4:13" s="6" customFormat="1" ht="20.100000000000001" customHeight="1" x14ac:dyDescent="0.25">
      <c r="D331"/>
      <c r="E331"/>
      <c r="F331"/>
      <c r="G331"/>
      <c r="H331"/>
      <c r="I331"/>
      <c r="J331"/>
      <c r="K331"/>
      <c r="L331"/>
      <c r="M331"/>
    </row>
    <row r="332" spans="4:13" s="6" customFormat="1" ht="20.100000000000001" customHeight="1" x14ac:dyDescent="0.25">
      <c r="D332"/>
      <c r="E332"/>
      <c r="F332"/>
      <c r="G332"/>
      <c r="H332"/>
      <c r="I332"/>
      <c r="J332"/>
      <c r="K332"/>
      <c r="L332"/>
      <c r="M332"/>
    </row>
    <row r="333" spans="4:13" s="6" customFormat="1" ht="20.100000000000001" customHeight="1" x14ac:dyDescent="0.25">
      <c r="D333"/>
      <c r="E333"/>
      <c r="F333"/>
      <c r="G333"/>
      <c r="H333"/>
      <c r="I333"/>
      <c r="J333"/>
      <c r="K333"/>
      <c r="L333"/>
      <c r="M333"/>
    </row>
    <row r="334" spans="4:13" s="6" customFormat="1" ht="20.100000000000001" customHeight="1" x14ac:dyDescent="0.25">
      <c r="D334"/>
      <c r="E334"/>
      <c r="F334"/>
      <c r="G334"/>
      <c r="H334"/>
      <c r="I334"/>
      <c r="J334"/>
      <c r="K334"/>
      <c r="L334"/>
      <c r="M334"/>
    </row>
    <row r="335" spans="4:13" s="6" customFormat="1" ht="20.100000000000001" customHeight="1" x14ac:dyDescent="0.25">
      <c r="D335"/>
      <c r="E335"/>
      <c r="F335"/>
      <c r="G335"/>
      <c r="H335"/>
      <c r="I335"/>
      <c r="J335"/>
      <c r="K335"/>
      <c r="L335"/>
      <c r="M335"/>
    </row>
    <row r="336" spans="4:13" s="6" customFormat="1" ht="20.100000000000001" customHeight="1" x14ac:dyDescent="0.25">
      <c r="D336"/>
      <c r="E336"/>
      <c r="F336"/>
      <c r="G336"/>
      <c r="H336"/>
      <c r="I336"/>
      <c r="J336"/>
      <c r="K336"/>
      <c r="L336"/>
      <c r="M336"/>
    </row>
    <row r="337" spans="4:13" s="6" customFormat="1" ht="20.100000000000001" customHeight="1" x14ac:dyDescent="0.25">
      <c r="D337"/>
      <c r="E337"/>
      <c r="F337"/>
      <c r="G337"/>
      <c r="H337"/>
      <c r="I337"/>
      <c r="J337"/>
      <c r="K337"/>
      <c r="L337"/>
      <c r="M337"/>
    </row>
    <row r="338" spans="4:13" s="6" customFormat="1" ht="20.100000000000001" customHeight="1" x14ac:dyDescent="0.25">
      <c r="D338"/>
      <c r="E338"/>
      <c r="F338"/>
      <c r="G338"/>
      <c r="H338"/>
      <c r="I338"/>
      <c r="J338"/>
      <c r="K338"/>
      <c r="L338"/>
      <c r="M338"/>
    </row>
    <row r="339" spans="4:13" s="6" customFormat="1" ht="20.100000000000001" customHeight="1" x14ac:dyDescent="0.25">
      <c r="D339"/>
      <c r="E339"/>
      <c r="F339"/>
      <c r="G339"/>
      <c r="H339"/>
      <c r="I339"/>
      <c r="J339"/>
      <c r="K339"/>
      <c r="L339"/>
      <c r="M339"/>
    </row>
    <row r="340" spans="4:13" s="6" customFormat="1" ht="20.100000000000001" customHeight="1" x14ac:dyDescent="0.25">
      <c r="D340"/>
      <c r="E340"/>
      <c r="F340"/>
      <c r="G340"/>
      <c r="H340"/>
      <c r="I340"/>
      <c r="J340"/>
      <c r="K340"/>
      <c r="L340"/>
      <c r="M340"/>
    </row>
    <row r="341" spans="4:13" s="6" customFormat="1" ht="20.100000000000001" customHeight="1" x14ac:dyDescent="0.25">
      <c r="D341"/>
      <c r="E341"/>
      <c r="F341"/>
      <c r="G341"/>
      <c r="H341"/>
      <c r="I341"/>
      <c r="J341"/>
      <c r="K341"/>
      <c r="L341"/>
      <c r="M341"/>
    </row>
    <row r="342" spans="4:13" s="6" customFormat="1" ht="20.100000000000001" customHeight="1" x14ac:dyDescent="0.25">
      <c r="D342"/>
      <c r="E342"/>
      <c r="F342"/>
      <c r="G342"/>
      <c r="H342"/>
      <c r="I342"/>
      <c r="J342"/>
      <c r="K342"/>
      <c r="L342"/>
      <c r="M342"/>
    </row>
    <row r="343" spans="4:13" s="6" customFormat="1" ht="20.100000000000001" customHeight="1" x14ac:dyDescent="0.25">
      <c r="D343"/>
      <c r="E343"/>
      <c r="F343"/>
      <c r="G343"/>
      <c r="H343"/>
      <c r="I343"/>
      <c r="J343"/>
      <c r="K343"/>
      <c r="L343"/>
      <c r="M343"/>
    </row>
    <row r="344" spans="4:13" s="6" customFormat="1" ht="20.100000000000001" customHeight="1" x14ac:dyDescent="0.25">
      <c r="D344"/>
      <c r="E344"/>
      <c r="F344"/>
      <c r="G344"/>
      <c r="H344"/>
      <c r="I344"/>
      <c r="J344"/>
      <c r="K344"/>
      <c r="L344"/>
      <c r="M344"/>
    </row>
    <row r="345" spans="4:13" s="6" customFormat="1" ht="20.100000000000001" customHeight="1" x14ac:dyDescent="0.25">
      <c r="D345"/>
      <c r="E345"/>
      <c r="F345"/>
      <c r="G345"/>
      <c r="H345"/>
      <c r="I345"/>
      <c r="J345"/>
      <c r="K345"/>
      <c r="L345"/>
      <c r="M345"/>
    </row>
    <row r="346" spans="4:13" s="6" customFormat="1" ht="20.100000000000001" customHeight="1" x14ac:dyDescent="0.25">
      <c r="D346"/>
      <c r="E346"/>
      <c r="F346"/>
      <c r="G346"/>
      <c r="H346"/>
      <c r="I346"/>
      <c r="J346"/>
      <c r="K346"/>
      <c r="L346"/>
      <c r="M346"/>
    </row>
    <row r="347" spans="4:13" s="6" customFormat="1" ht="20.100000000000001" customHeight="1" x14ac:dyDescent="0.25">
      <c r="D347"/>
      <c r="E347"/>
      <c r="F347"/>
      <c r="G347"/>
      <c r="H347"/>
      <c r="I347"/>
      <c r="J347"/>
      <c r="K347"/>
      <c r="L347"/>
      <c r="M347"/>
    </row>
    <row r="348" spans="4:13" s="6" customFormat="1" ht="20.100000000000001" customHeight="1" x14ac:dyDescent="0.25">
      <c r="D348"/>
      <c r="E348"/>
      <c r="F348"/>
      <c r="G348"/>
      <c r="H348"/>
      <c r="I348"/>
      <c r="J348"/>
      <c r="K348"/>
      <c r="L348"/>
      <c r="M348"/>
    </row>
    <row r="349" spans="4:13" s="6" customFormat="1" ht="20.100000000000001" customHeight="1" x14ac:dyDescent="0.25">
      <c r="D349"/>
      <c r="E349"/>
      <c r="F349"/>
      <c r="G349"/>
      <c r="H349"/>
      <c r="I349"/>
      <c r="J349"/>
      <c r="K349"/>
      <c r="L349"/>
      <c r="M349"/>
    </row>
    <row r="350" spans="4:13" s="6" customFormat="1" ht="20.100000000000001" customHeight="1" x14ac:dyDescent="0.25">
      <c r="D350"/>
      <c r="E350"/>
      <c r="F350"/>
      <c r="G350"/>
      <c r="H350"/>
      <c r="I350"/>
      <c r="J350"/>
      <c r="K350"/>
      <c r="L350"/>
      <c r="M350"/>
    </row>
    <row r="351" spans="4:13" s="6" customFormat="1" ht="20.100000000000001" customHeight="1" x14ac:dyDescent="0.25">
      <c r="D351"/>
      <c r="E351"/>
      <c r="F351"/>
      <c r="G351"/>
      <c r="H351"/>
      <c r="I351"/>
      <c r="J351"/>
      <c r="K351"/>
      <c r="L351"/>
      <c r="M351"/>
    </row>
    <row r="352" spans="4:13" s="6" customFormat="1" ht="20.100000000000001" customHeight="1" x14ac:dyDescent="0.25">
      <c r="D352"/>
      <c r="E352"/>
      <c r="F352"/>
      <c r="G352"/>
      <c r="H352"/>
      <c r="I352"/>
      <c r="J352"/>
      <c r="K352"/>
      <c r="L352"/>
      <c r="M352"/>
    </row>
  </sheetData>
  <mergeCells count="5">
    <mergeCell ref="A5:H5"/>
    <mergeCell ref="J7:P7"/>
    <mergeCell ref="A6:C6"/>
    <mergeCell ref="G4:H4"/>
    <mergeCell ref="G6:H6"/>
  </mergeCells>
  <pageMargins left="0.19685039370078741" right="0.15748031496062992" top="0.15748031496062992" bottom="0.15748031496062992" header="0.31496062992125984" footer="0.31496062992125984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I18"/>
  <sheetViews>
    <sheetView workbookViewId="0"/>
  </sheetViews>
  <sheetFormatPr defaultRowHeight="15" x14ac:dyDescent="0.25"/>
  <sheetData>
    <row r="4" spans="1:9" ht="23.25" customHeight="1" x14ac:dyDescent="0.35">
      <c r="C4" s="144" t="s">
        <v>78</v>
      </c>
      <c r="D4" s="145"/>
      <c r="E4" s="145"/>
      <c r="F4" s="145"/>
      <c r="G4" s="145"/>
      <c r="H4" s="145"/>
      <c r="I4" s="146"/>
    </row>
    <row r="7" spans="1:9" x14ac:dyDescent="0.25">
      <c r="B7" s="147" t="s">
        <v>17</v>
      </c>
    </row>
    <row r="9" spans="1:9" x14ac:dyDescent="0.25">
      <c r="B9" s="147" t="s">
        <v>21</v>
      </c>
    </row>
    <row r="11" spans="1:9" x14ac:dyDescent="0.25">
      <c r="A11" s="148">
        <v>1</v>
      </c>
      <c r="B11" t="s">
        <v>57</v>
      </c>
    </row>
    <row r="13" spans="1:9" x14ac:dyDescent="0.25">
      <c r="A13" s="148">
        <v>2</v>
      </c>
      <c r="B13" t="s">
        <v>55</v>
      </c>
    </row>
    <row r="15" spans="1:9" x14ac:dyDescent="0.25">
      <c r="A15" s="148">
        <v>3</v>
      </c>
      <c r="B15" t="s">
        <v>5</v>
      </c>
    </row>
    <row r="16" spans="1:9" x14ac:dyDescent="0.25">
      <c r="B16" t="s">
        <v>77</v>
      </c>
    </row>
    <row r="18" spans="2:2" x14ac:dyDescent="0.25">
      <c r="B18" s="147" t="s">
        <v>56</v>
      </c>
    </row>
  </sheetData>
  <pageMargins left="0.75" right="0.75" top="1" bottom="1" header="0.5" footer="0.5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Bảng kê quý ủng hộ</vt:lpstr>
      <vt:lpstr>Bieu mau thanh toan 2%</vt:lpstr>
      <vt:lpstr>abc</vt:lpstr>
      <vt:lpstr>BK trả thưởng quý khách ký</vt:lpstr>
      <vt:lpstr>Bảng trả thưởng kèm đề nghị</vt:lpstr>
      <vt:lpstr>Bang ke thanh toan 2%</vt:lpstr>
      <vt:lpstr>Sheet1</vt:lpstr>
      <vt:lpstr>'Bang ke thanh toan 2%'!Print_Titles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Vu Dinh Quang</cp:lastModifiedBy>
  <cp:lastPrinted>2015-03-18T16:52:19Z</cp:lastPrinted>
  <dcterms:created xsi:type="dcterms:W3CDTF">2014-01-06T10:44:33Z</dcterms:created>
  <dcterms:modified xsi:type="dcterms:W3CDTF">2015-04-03T08:49:58Z</dcterms:modified>
  <cp:category/>
</cp:coreProperties>
</file>