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0" windowWidth="20490" windowHeight="5955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F25" i="1"/>
  <c r="F14"/>
  <c r="F15"/>
  <c r="F16"/>
  <c r="F17"/>
  <c r="F18"/>
  <c r="F19"/>
  <c r="F20"/>
  <c r="F21"/>
  <c r="F22"/>
  <c r="F23"/>
  <c r="F24"/>
  <c r="F13"/>
</calcChain>
</file>

<file path=xl/sharedStrings.xml><?xml version="1.0" encoding="utf-8"?>
<sst xmlns="http://schemas.openxmlformats.org/spreadsheetml/2006/main" count="36" uniqueCount="34">
  <si>
    <t/>
  </si>
  <si>
    <t>Đến ngày: 2014-07-31</t>
  </si>
  <si>
    <t>Lập biểu</t>
  </si>
  <si>
    <t>Từ ngày: 2014-04-01</t>
  </si>
  <si>
    <t>TĂNG TRONG KỲ</t>
  </si>
  <si>
    <t>STT</t>
  </si>
  <si>
    <t>GIẢM TRONG KỲ</t>
  </si>
  <si>
    <t>Giám đốc</t>
  </si>
  <si>
    <t xml:space="preserve">Ngày :___________ </t>
  </si>
  <si>
    <t>BÁO CÁO TỔNG HỢP CÔNG NỢ KHÁCH HÀNG</t>
  </si>
  <si>
    <t xml:space="preserve">Kênh bán hàng: </t>
  </si>
  <si>
    <t>Tổng cộng</t>
  </si>
  <si>
    <t>CÔNG TY CỔ PHẦN TRAPHACO</t>
  </si>
  <si>
    <t>Mã số thuế: 11111111</t>
  </si>
  <si>
    <t>Địa chỉ: Hà Nội</t>
  </si>
  <si>
    <t>BÁO CÁO CHI TIẾT CÔNG NỢ KHÁCH HÀNG</t>
  </si>
  <si>
    <t>SỐ CT</t>
  </si>
  <si>
    <t>NGÀY CT</t>
  </si>
  <si>
    <t>Đầu kỳ:</t>
  </si>
  <si>
    <t>CÒN NỢ</t>
  </si>
  <si>
    <t>TT001</t>
  </si>
  <si>
    <t>TT002</t>
  </si>
  <si>
    <t>TT003</t>
  </si>
  <si>
    <t>TT004</t>
  </si>
  <si>
    <t>TT005</t>
  </si>
  <si>
    <t>TT006</t>
  </si>
  <si>
    <t>TT007</t>
  </si>
  <si>
    <t>TT008</t>
  </si>
  <si>
    <t>TT009</t>
  </si>
  <si>
    <t>TT010</t>
  </si>
  <si>
    <t>TT011</t>
  </si>
  <si>
    <t>TT012</t>
  </si>
  <si>
    <t>OTC</t>
  </si>
  <si>
    <t>Khách hàng AAA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</si>
</sst>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87182226020086"/>
        <bgColor indexed="64"/>
      </patternFill>
    </fill>
    <fill>
      <patternFill patternType="solid">
        <fgColor theme="8" tint="0.5993835261085848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1" fillId="0" borderId="0" applyFont="0" applyBorder="0" applyAlignment="0" applyProtection="0"/>
  </cellStyleXfs>
  <cellXfs count="25">
    <xf numFmtId="0" fontId="0" fillId="0" borderId="0" xfId="0" applyFill="1"/>
    <xf numFmtId="0" fontId="2" fillId="2" borderId="0" xfId="0" applyFont="1" applyFill="1"/>
    <xf numFmtId="0" fontId="3" fillId="3" borderId="1" xfId="0" applyFont="1" applyFill="1" applyBorder="1" applyAlignment="1">
      <alignment horizontal="center"/>
    </xf>
    <xf numFmtId="164" fontId="2" fillId="2" borderId="0" xfId="1" applyNumberFormat="1" applyFont="1" applyFill="1"/>
    <xf numFmtId="164" fontId="3" fillId="2" borderId="0" xfId="1" applyNumberFormat="1" applyFont="1" applyFill="1"/>
    <xf numFmtId="164" fontId="3" fillId="3" borderId="1" xfId="1" applyNumberFormat="1" applyFont="1" applyFill="1" applyBorder="1" applyAlignment="1">
      <alignment horizontal="center"/>
    </xf>
    <xf numFmtId="164" fontId="0" fillId="0" borderId="0" xfId="1" applyNumberFormat="1" applyFont="1"/>
    <xf numFmtId="164" fontId="5" fillId="2" borderId="2" xfId="1" applyNumberFormat="1" applyFont="1" applyFill="1" applyBorder="1"/>
    <xf numFmtId="164" fontId="6" fillId="4" borderId="1" xfId="0" applyNumberFormat="1" applyFont="1" applyFill="1" applyBorder="1"/>
    <xf numFmtId="164" fontId="7" fillId="5" borderId="2" xfId="1" applyNumberFormat="1" applyFont="1" applyFill="1" applyBorder="1"/>
    <xf numFmtId="0" fontId="0" fillId="0" borderId="0" xfId="0" applyFill="1" applyAlignment="1">
      <alignment horizontal="left"/>
    </xf>
    <xf numFmtId="0" fontId="0" fillId="0" borderId="0" xfId="0" applyFill="1" applyAlignment="1">
      <alignment horizontal="left"/>
    </xf>
    <xf numFmtId="0" fontId="6" fillId="2" borderId="0" xfId="0" applyFont="1" applyFill="1"/>
    <xf numFmtId="0" fontId="6" fillId="0" borderId="0" xfId="0" applyFont="1" applyFill="1" applyAlignment="1">
      <alignment horizontal="left"/>
    </xf>
    <xf numFmtId="0" fontId="6" fillId="0" borderId="0" xfId="0" applyFont="1" applyFill="1"/>
    <xf numFmtId="164" fontId="6" fillId="0" borderId="0" xfId="1" applyNumberFormat="1" applyFont="1"/>
    <xf numFmtId="0" fontId="6" fillId="3" borderId="1" xfId="0" applyFont="1" applyFill="1" applyBorder="1" applyAlignment="1">
      <alignment horizontal="center"/>
    </xf>
    <xf numFmtId="164" fontId="6" fillId="6" borderId="1" xfId="0" applyNumberFormat="1" applyFont="1" applyFill="1" applyBorder="1"/>
    <xf numFmtId="164" fontId="5" fillId="2" borderId="1" xfId="1" applyNumberFormat="1" applyFont="1" applyFill="1" applyBorder="1"/>
    <xf numFmtId="14" fontId="5" fillId="2" borderId="1" xfId="1" applyNumberFormat="1" applyFont="1" applyFill="1" applyBorder="1"/>
    <xf numFmtId="164" fontId="6" fillId="6" borderId="1" xfId="1" applyNumberFormat="1" applyFont="1" applyFill="1" applyBorder="1"/>
    <xf numFmtId="0" fontId="8" fillId="0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6" fillId="2" borderId="1" xfId="0" applyFont="1" applyFill="1" applyBorder="1" applyAlignment="1">
      <alignment horizontal="center"/>
    </xf>
  </cellXfs>
  <cellStyles count="2">
    <cellStyle name="Comma" xfId="1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80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Z33"/>
  <sheetViews>
    <sheetView tabSelected="1" workbookViewId="0">
      <selection activeCell="F26" sqref="F26"/>
    </sheetView>
  </sheetViews>
  <sheetFormatPr defaultRowHeight="15"/>
  <cols>
    <col min="1" max="1" width="10.7109375" customWidth="1"/>
    <col min="2" max="2" width="20.7109375" customWidth="1"/>
    <col min="3" max="3" width="14.28515625" customWidth="1"/>
    <col min="4" max="7" width="25.7109375" style="6" customWidth="1"/>
  </cols>
  <sheetData>
    <row r="1" spans="1:26" ht="20.100000000000001" customHeight="1">
      <c r="A1" s="12" t="s">
        <v>12</v>
      </c>
      <c r="B1" s="1"/>
      <c r="C1" s="1"/>
      <c r="D1" s="3"/>
      <c r="E1" s="3"/>
      <c r="F1" s="3"/>
      <c r="G1" s="4"/>
      <c r="X1" s="7"/>
      <c r="Y1" s="8"/>
      <c r="Z1" s="9"/>
    </row>
    <row r="2" spans="1:26" ht="20.100000000000001" customHeight="1">
      <c r="A2" s="12" t="s">
        <v>14</v>
      </c>
      <c r="B2" s="1"/>
      <c r="C2" s="1"/>
      <c r="D2" s="3"/>
      <c r="E2" s="3"/>
      <c r="F2" s="3"/>
      <c r="G2" s="4"/>
    </row>
    <row r="3" spans="1:26" ht="20.100000000000001" customHeight="1">
      <c r="A3" s="12" t="s">
        <v>13</v>
      </c>
      <c r="B3" s="1"/>
      <c r="C3" s="1"/>
      <c r="D3" s="3"/>
      <c r="E3" s="3"/>
      <c r="F3" s="3"/>
      <c r="G3" s="4"/>
    </row>
    <row r="4" spans="1:26">
      <c r="A4" s="1"/>
      <c r="B4" s="1"/>
      <c r="C4" s="1"/>
      <c r="D4" s="3"/>
      <c r="E4" s="3"/>
      <c r="F4" s="3"/>
      <c r="G4" s="4"/>
    </row>
    <row r="5" spans="1:26" ht="23.25">
      <c r="A5" s="22" t="s">
        <v>15</v>
      </c>
      <c r="B5" s="22"/>
      <c r="C5" s="22"/>
      <c r="D5" s="22" t="s">
        <v>9</v>
      </c>
      <c r="E5" s="22"/>
      <c r="F5" s="22"/>
      <c r="G5" s="22"/>
    </row>
    <row r="6" spans="1:26">
      <c r="A6" s="23" t="s">
        <v>33</v>
      </c>
      <c r="B6" s="23"/>
      <c r="C6" s="23"/>
      <c r="D6" s="23"/>
      <c r="E6" s="23"/>
      <c r="F6" s="23"/>
      <c r="G6" s="23"/>
    </row>
    <row r="7" spans="1:26">
      <c r="A7" s="10"/>
      <c r="B7" s="10"/>
      <c r="C7" s="10"/>
      <c r="D7" s="10"/>
      <c r="E7" s="10"/>
      <c r="F7" s="10"/>
      <c r="G7" s="10"/>
    </row>
    <row r="8" spans="1:26">
      <c r="A8" s="13" t="s">
        <v>3</v>
      </c>
      <c r="B8" s="10"/>
      <c r="C8" s="13" t="s">
        <v>1</v>
      </c>
      <c r="D8" s="10"/>
      <c r="E8" s="10"/>
      <c r="F8" s="10"/>
      <c r="G8" s="10"/>
    </row>
    <row r="9" spans="1:26">
      <c r="A9" s="13" t="s">
        <v>10</v>
      </c>
      <c r="B9" s="11"/>
      <c r="C9" s="21" t="s">
        <v>32</v>
      </c>
      <c r="D9" s="11"/>
      <c r="E9" s="11"/>
      <c r="F9" s="11"/>
      <c r="G9" s="11"/>
    </row>
    <row r="11" spans="1:26">
      <c r="A11" s="2" t="s">
        <v>5</v>
      </c>
      <c r="B11" s="16" t="s">
        <v>16</v>
      </c>
      <c r="C11" s="16" t="s">
        <v>17</v>
      </c>
      <c r="D11" s="5" t="s">
        <v>4</v>
      </c>
      <c r="E11" s="5" t="s">
        <v>6</v>
      </c>
      <c r="F11" s="5" t="s">
        <v>19</v>
      </c>
      <c r="G11"/>
    </row>
    <row r="12" spans="1:26">
      <c r="A12" s="24" t="s">
        <v>18</v>
      </c>
      <c r="B12" s="24"/>
      <c r="C12" s="24"/>
      <c r="D12" s="24"/>
      <c r="E12" s="24"/>
      <c r="F12" s="5">
        <v>100000000</v>
      </c>
      <c r="G12"/>
    </row>
    <row r="13" spans="1:26">
      <c r="A13" s="18">
        <v>1</v>
      </c>
      <c r="B13" s="18" t="s">
        <v>20</v>
      </c>
      <c r="C13" s="19">
        <v>41643</v>
      </c>
      <c r="D13" s="18">
        <v>185302180.19999999</v>
      </c>
      <c r="E13" s="18">
        <v>0</v>
      </c>
      <c r="F13" s="18">
        <f>$F$12+D13-E13</f>
        <v>285302180.19999999</v>
      </c>
      <c r="G13"/>
    </row>
    <row r="14" spans="1:26">
      <c r="A14" s="18">
        <v>2</v>
      </c>
      <c r="B14" s="18" t="s">
        <v>21</v>
      </c>
      <c r="C14" s="19">
        <v>41643</v>
      </c>
      <c r="D14" s="18">
        <v>236376718.19999999</v>
      </c>
      <c r="E14" s="18">
        <v>0</v>
      </c>
      <c r="F14" s="18">
        <f t="shared" ref="F14:F24" si="0">$F$12+D14-E14</f>
        <v>336376718.19999999</v>
      </c>
      <c r="G14"/>
    </row>
    <row r="15" spans="1:26">
      <c r="A15" s="18">
        <v>3</v>
      </c>
      <c r="B15" s="18" t="s">
        <v>22</v>
      </c>
      <c r="C15" s="19">
        <v>41643</v>
      </c>
      <c r="D15" s="18">
        <v>29000241.600000001</v>
      </c>
      <c r="E15" s="18">
        <v>0</v>
      </c>
      <c r="F15" s="18">
        <f t="shared" si="0"/>
        <v>129000241.59999999</v>
      </c>
      <c r="G15"/>
    </row>
    <row r="16" spans="1:26">
      <c r="A16" s="18">
        <v>4</v>
      </c>
      <c r="B16" s="18" t="s">
        <v>23</v>
      </c>
      <c r="C16" s="19">
        <v>41644</v>
      </c>
      <c r="D16" s="18">
        <v>75030454</v>
      </c>
      <c r="E16" s="18">
        <v>0</v>
      </c>
      <c r="F16" s="18">
        <f t="shared" si="0"/>
        <v>175030454</v>
      </c>
      <c r="G16"/>
    </row>
    <row r="17" spans="1:7">
      <c r="A17" s="18">
        <v>5</v>
      </c>
      <c r="B17" s="18" t="s">
        <v>24</v>
      </c>
      <c r="C17" s="19">
        <v>41645</v>
      </c>
      <c r="D17" s="18">
        <v>44845758.200000003</v>
      </c>
      <c r="E17" s="18">
        <v>0</v>
      </c>
      <c r="F17" s="18">
        <f t="shared" si="0"/>
        <v>144845758.19999999</v>
      </c>
      <c r="G17"/>
    </row>
    <row r="18" spans="1:7">
      <c r="A18" s="18">
        <v>6</v>
      </c>
      <c r="B18" s="18" t="s">
        <v>25</v>
      </c>
      <c r="C18" s="19">
        <v>41645</v>
      </c>
      <c r="D18" s="18">
        <v>179512735.40000001</v>
      </c>
      <c r="E18" s="18">
        <v>0</v>
      </c>
      <c r="F18" s="18">
        <f t="shared" si="0"/>
        <v>279512735.39999998</v>
      </c>
      <c r="G18"/>
    </row>
    <row r="19" spans="1:7">
      <c r="A19" s="18">
        <v>7</v>
      </c>
      <c r="B19" s="18" t="s">
        <v>26</v>
      </c>
      <c r="C19" s="19">
        <v>41645</v>
      </c>
      <c r="D19" s="18">
        <v>240267668.40000001</v>
      </c>
      <c r="E19" s="18">
        <v>0</v>
      </c>
      <c r="F19" s="18">
        <f t="shared" si="0"/>
        <v>340267668.39999998</v>
      </c>
      <c r="G19"/>
    </row>
    <row r="20" spans="1:7">
      <c r="A20" s="18">
        <v>8</v>
      </c>
      <c r="B20" s="18" t="s">
        <v>27</v>
      </c>
      <c r="C20" s="19">
        <v>41645</v>
      </c>
      <c r="D20" s="18">
        <v>215188745.59999999</v>
      </c>
      <c r="E20" s="18">
        <v>0</v>
      </c>
      <c r="F20" s="18">
        <f t="shared" si="0"/>
        <v>315188745.60000002</v>
      </c>
      <c r="G20"/>
    </row>
    <row r="21" spans="1:7">
      <c r="A21" s="18">
        <v>9</v>
      </c>
      <c r="B21" s="18" t="s">
        <v>28</v>
      </c>
      <c r="C21" s="19">
        <v>41645</v>
      </c>
      <c r="D21" s="18">
        <v>2875250</v>
      </c>
      <c r="E21" s="18">
        <v>0</v>
      </c>
      <c r="F21" s="18">
        <f t="shared" si="0"/>
        <v>102875250</v>
      </c>
      <c r="G21"/>
    </row>
    <row r="22" spans="1:7">
      <c r="A22" s="18">
        <v>10</v>
      </c>
      <c r="B22" s="18" t="s">
        <v>29</v>
      </c>
      <c r="C22" s="19">
        <v>41645</v>
      </c>
      <c r="D22" s="18">
        <v>64707733</v>
      </c>
      <c r="E22" s="18">
        <v>0</v>
      </c>
      <c r="F22" s="18">
        <f t="shared" si="0"/>
        <v>164707733</v>
      </c>
      <c r="G22"/>
    </row>
    <row r="23" spans="1:7">
      <c r="A23" s="18">
        <v>11</v>
      </c>
      <c r="B23" s="18" t="s">
        <v>30</v>
      </c>
      <c r="C23" s="19">
        <v>41645</v>
      </c>
      <c r="D23" s="18">
        <v>131956238</v>
      </c>
      <c r="E23" s="18">
        <v>0</v>
      </c>
      <c r="F23" s="18">
        <f t="shared" si="0"/>
        <v>231956238</v>
      </c>
      <c r="G23"/>
    </row>
    <row r="24" spans="1:7">
      <c r="A24" s="18">
        <v>12</v>
      </c>
      <c r="B24" s="18" t="s">
        <v>31</v>
      </c>
      <c r="C24" s="19">
        <v>41645</v>
      </c>
      <c r="D24" s="18">
        <v>56706263</v>
      </c>
      <c r="E24" s="18">
        <v>0</v>
      </c>
      <c r="F24" s="18">
        <f t="shared" si="0"/>
        <v>156706263</v>
      </c>
      <c r="G24"/>
    </row>
    <row r="25" spans="1:7">
      <c r="A25" s="8" t="s">
        <v>0</v>
      </c>
      <c r="B25" s="17" t="s">
        <v>11</v>
      </c>
      <c r="C25" s="17" t="s">
        <v>0</v>
      </c>
      <c r="D25" s="17">
        <v>14581424611.299999</v>
      </c>
      <c r="E25" s="17">
        <v>0</v>
      </c>
      <c r="F25" s="20">
        <f>$F$12+D25-E25</f>
        <v>14681424611.299999</v>
      </c>
      <c r="G25"/>
    </row>
    <row r="28" spans="1:7">
      <c r="B28" s="14" t="s">
        <v>2</v>
      </c>
      <c r="F28" s="15" t="s">
        <v>7</v>
      </c>
    </row>
    <row r="33" spans="2:6">
      <c r="B33" s="14" t="s">
        <v>8</v>
      </c>
      <c r="F33" s="15" t="s">
        <v>8</v>
      </c>
    </row>
  </sheetData>
  <mergeCells count="3">
    <mergeCell ref="A5:G5"/>
    <mergeCell ref="A6:G6"/>
    <mergeCell ref="A12:E12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chinhpc</dc:creator>
  <cp:lastModifiedBy>luonghv1989@hotmail.com</cp:lastModifiedBy>
  <dcterms:created xsi:type="dcterms:W3CDTF">2012-04-23T01:44:48Z</dcterms:created>
  <dcterms:modified xsi:type="dcterms:W3CDTF">2014-07-02T06:57:34Z</dcterms:modified>
</cp:coreProperties>
</file>